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yaanjauhar/Desktop/IIM_Mumbai/"/>
    </mc:Choice>
  </mc:AlternateContent>
  <xr:revisionPtr revIDLastSave="0" documentId="13_ncr:1_{9D44E45F-0025-4F47-AA1F-579228CFD0B1}" xr6:coauthVersionLast="47" xr6:coauthVersionMax="47" xr10:uidLastSave="{00000000-0000-0000-0000-000000000000}"/>
  <bookViews>
    <workbookView xWindow="0" yWindow="580" windowWidth="28800" windowHeight="18060" tabRatio="798" activeTab="8" xr2:uid="{00000000-000D-0000-FFFF-FFFF00000000}"/>
  </bookViews>
  <sheets>
    <sheet name="Read me" sheetId="1" r:id="rId1"/>
    <sheet name="P1 Salaries" sheetId="2" r:id="rId2"/>
    <sheet name="P2 Weighted" sheetId="3" r:id="rId3"/>
    <sheet name="P3 Scores" sheetId="4" r:id="rId4"/>
    <sheet name="P4 Variability" sheetId="5" r:id="rId5"/>
    <sheet name="P5 Shape" sheetId="6" r:id="rId6"/>
    <sheet name="P6 Sales" sheetId="7" r:id="rId7"/>
    <sheet name="P6 Sales after" sheetId="10" r:id="rId8"/>
    <sheet name="P7 Rents" sheetId="8" r:id="rId9"/>
    <sheet name="P8 Students" sheetId="9" r:id="rId10"/>
  </sheets>
  <definedNames>
    <definedName name="_xlnm._FilterDatabase" localSheetId="6" hidden="1">'P6 Sales'!$F$5:$H$7</definedName>
    <definedName name="_xlchart.v1.0" hidden="1">'P5 Shape'!$B$2:$B$121</definedName>
    <definedName name="_xlchart.v1.1" hidden="1">'P5 Shape'!$E$2:$E$101</definedName>
    <definedName name="_xlchart.v1.2" hidden="1">'P5 Shape'!$J$2:$J$6</definedName>
    <definedName name="_xlchart.v1.3" hidden="1">'P7 Rents'!$B$1</definedName>
    <definedName name="_xlchart.v1.4" hidden="1">'P7 Rents'!$B$2:$B$41</definedName>
    <definedName name="_xlchart.v1.5" hidden="1">'P7 Rents'!$B$1</definedName>
    <definedName name="_xlchart.v1.6" hidden="1">'P7 Rents'!$B$2:$B$41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9" l="1"/>
  <c r="H4" i="9"/>
  <c r="H5" i="9"/>
  <c r="H6" i="9"/>
  <c r="H7" i="9"/>
  <c r="H8" i="9"/>
  <c r="H9" i="9"/>
  <c r="H10" i="9"/>
  <c r="H11" i="9"/>
  <c r="H12" i="9"/>
  <c r="H13" i="9"/>
  <c r="H14" i="9"/>
  <c r="H15" i="9"/>
  <c r="H16" i="9"/>
  <c r="H2" i="9"/>
  <c r="F17" i="9"/>
  <c r="F3" i="9"/>
  <c r="F4" i="9"/>
  <c r="F5" i="9"/>
  <c r="F6" i="9"/>
  <c r="F7" i="9"/>
  <c r="F8" i="9"/>
  <c r="F9" i="9"/>
  <c r="F10" i="9"/>
  <c r="F11" i="9"/>
  <c r="F12" i="9"/>
  <c r="F13" i="9"/>
  <c r="F14" i="9"/>
  <c r="F15" i="9"/>
  <c r="F16" i="9"/>
  <c r="F2" i="9"/>
  <c r="E12" i="8"/>
  <c r="E9" i="8"/>
  <c r="E8" i="8"/>
  <c r="E7" i="8"/>
  <c r="E5" i="8"/>
  <c r="E4" i="8"/>
  <c r="E3" i="8"/>
  <c r="E2" i="8"/>
  <c r="E1" i="8"/>
  <c r="I5" i="7"/>
  <c r="I6" i="7"/>
  <c r="I7" i="7"/>
  <c r="I7" i="10"/>
  <c r="I6" i="10"/>
  <c r="I5" i="10"/>
  <c r="H7" i="10"/>
  <c r="H6" i="10"/>
  <c r="G6" i="10"/>
  <c r="G7" i="10"/>
  <c r="G5" i="10"/>
  <c r="G2" i="10"/>
  <c r="G1" i="10"/>
  <c r="G1" i="7"/>
  <c r="G2" i="7"/>
  <c r="H7" i="7"/>
  <c r="H6" i="7"/>
  <c r="J2" i="6"/>
  <c r="H2" i="6"/>
  <c r="I2" i="6"/>
  <c r="H3" i="6"/>
  <c r="I3" i="6"/>
  <c r="J3" i="6"/>
  <c r="H4" i="6"/>
  <c r="I4" i="6"/>
  <c r="J4" i="6"/>
  <c r="H5" i="6"/>
  <c r="I5" i="6"/>
  <c r="J5" i="6"/>
  <c r="H6" i="6"/>
  <c r="I6" i="6"/>
  <c r="J6" i="6"/>
  <c r="M10" i="5"/>
  <c r="M9" i="5"/>
  <c r="M8" i="5"/>
  <c r="M11" i="5" s="1"/>
  <c r="M7" i="5"/>
  <c r="M5" i="5"/>
  <c r="M6" i="5" s="1"/>
  <c r="M4" i="5"/>
  <c r="M3" i="5"/>
  <c r="M2" i="5"/>
  <c r="L10" i="5"/>
  <c r="L9" i="5"/>
  <c r="L8" i="5"/>
  <c r="L7" i="5"/>
  <c r="L5" i="5"/>
  <c r="L4" i="5"/>
  <c r="L3" i="5"/>
  <c r="L2" i="5"/>
  <c r="J11" i="5"/>
  <c r="K11" i="5"/>
  <c r="K10" i="5"/>
  <c r="K9" i="5"/>
  <c r="K8" i="5"/>
  <c r="K7" i="5"/>
  <c r="K5" i="5"/>
  <c r="K6" i="5" s="1"/>
  <c r="K4" i="5"/>
  <c r="K3" i="5"/>
  <c r="K2" i="5"/>
  <c r="J10" i="5"/>
  <c r="J9" i="5"/>
  <c r="J8" i="5"/>
  <c r="J7" i="5"/>
  <c r="J5" i="5"/>
  <c r="J6" i="5" s="1"/>
  <c r="J4" i="5"/>
  <c r="J3" i="5"/>
  <c r="J2" i="5"/>
  <c r="P3" i="5"/>
  <c r="P4" i="5"/>
  <c r="P5" i="5"/>
  <c r="O3" i="5"/>
  <c r="O4" i="5"/>
  <c r="O5" i="5"/>
  <c r="O6" i="5"/>
  <c r="P6" i="5" s="1"/>
  <c r="O7" i="5"/>
  <c r="P7" i="5" s="1"/>
  <c r="O8" i="5"/>
  <c r="P8" i="5" s="1"/>
  <c r="O9" i="5"/>
  <c r="P9" i="5" s="1"/>
  <c r="O10" i="5"/>
  <c r="P10" i="5" s="1"/>
  <c r="O11" i="5"/>
  <c r="P11" i="5" s="1"/>
  <c r="O12" i="5"/>
  <c r="P12" i="5" s="1"/>
  <c r="O13" i="5"/>
  <c r="P13" i="5" s="1"/>
  <c r="O2" i="5"/>
  <c r="H13" i="4"/>
  <c r="H3" i="4"/>
  <c r="H4" i="4"/>
  <c r="H5" i="4"/>
  <c r="H6" i="4"/>
  <c r="H7" i="4"/>
  <c r="H8" i="4"/>
  <c r="H9" i="4"/>
  <c r="H2" i="4"/>
  <c r="G3" i="4"/>
  <c r="G4" i="4"/>
  <c r="G5" i="4"/>
  <c r="G6" i="4"/>
  <c r="G7" i="4"/>
  <c r="G8" i="4"/>
  <c r="G9" i="4"/>
  <c r="G2" i="4"/>
  <c r="F3" i="4"/>
  <c r="F4" i="4"/>
  <c r="F5" i="4"/>
  <c r="F6" i="4"/>
  <c r="F7" i="4"/>
  <c r="F8" i="4"/>
  <c r="F9" i="4"/>
  <c r="F2" i="4"/>
  <c r="E3" i="4"/>
  <c r="E4" i="4"/>
  <c r="E5" i="4"/>
  <c r="E6" i="4"/>
  <c r="E7" i="4"/>
  <c r="E8" i="4"/>
  <c r="E9" i="4"/>
  <c r="E2" i="4"/>
  <c r="H8" i="3"/>
  <c r="H7" i="3"/>
  <c r="E10" i="3"/>
  <c r="E9" i="3"/>
  <c r="E3" i="3"/>
  <c r="E4" i="3"/>
  <c r="E5" i="3"/>
  <c r="E6" i="3"/>
  <c r="E7" i="3"/>
  <c r="E2" i="3"/>
  <c r="D6" i="2"/>
  <c r="D5" i="2"/>
  <c r="E3" i="2"/>
  <c r="E2" i="2"/>
  <c r="E1" i="2"/>
  <c r="C3" i="7" l="1"/>
  <c r="D3" i="7" s="1"/>
  <c r="C4" i="7"/>
  <c r="D4" i="7" s="1"/>
  <c r="C9" i="7"/>
  <c r="D9" i="7" s="1"/>
  <c r="C11" i="7"/>
  <c r="D11" i="7" s="1"/>
  <c r="C13" i="7"/>
  <c r="D13" i="7" s="1"/>
  <c r="C15" i="7"/>
  <c r="D15" i="7" s="1"/>
  <c r="C17" i="7"/>
  <c r="D17" i="7" s="1"/>
  <c r="C19" i="7"/>
  <c r="D19" i="7" s="1"/>
  <c r="C21" i="7"/>
  <c r="D21" i="7" s="1"/>
  <c r="C23" i="7"/>
  <c r="D23" i="7" s="1"/>
  <c r="C26" i="7"/>
  <c r="D26" i="7" s="1"/>
  <c r="C28" i="7"/>
  <c r="D28" i="7" s="1"/>
  <c r="C30" i="7"/>
  <c r="D30" i="7" s="1"/>
  <c r="C2" i="7"/>
  <c r="D2" i="7" s="1"/>
  <c r="C5" i="7"/>
  <c r="D5" i="7" s="1"/>
  <c r="C6" i="7"/>
  <c r="D6" i="7" s="1"/>
  <c r="C7" i="7"/>
  <c r="D7" i="7" s="1"/>
  <c r="C8" i="7"/>
  <c r="D8" i="7" s="1"/>
  <c r="C10" i="7"/>
  <c r="D10" i="7" s="1"/>
  <c r="C12" i="7"/>
  <c r="D12" i="7" s="1"/>
  <c r="C14" i="7"/>
  <c r="D14" i="7" s="1"/>
  <c r="C16" i="7"/>
  <c r="D16" i="7" s="1"/>
  <c r="C18" i="7"/>
  <c r="D18" i="7" s="1"/>
  <c r="C20" i="7"/>
  <c r="D20" i="7" s="1"/>
  <c r="C22" i="7"/>
  <c r="D22" i="7" s="1"/>
  <c r="C25" i="7"/>
  <c r="D25" i="7" s="1"/>
  <c r="C27" i="7"/>
  <c r="D27" i="7" s="1"/>
  <c r="C29" i="7"/>
  <c r="D29" i="7" s="1"/>
  <c r="C31" i="7"/>
  <c r="D31" i="7" s="1"/>
  <c r="C24" i="7"/>
  <c r="D24" i="7" s="1"/>
  <c r="L6" i="5"/>
  <c r="L11" i="5"/>
  <c r="P2" i="5"/>
  <c r="P14" i="5" s="1"/>
  <c r="P15" i="5" s="1"/>
  <c r="G5" i="7" l="1"/>
  <c r="G6" i="7"/>
  <c r="G7" i="7"/>
  <c r="O14" i="5"/>
</calcChain>
</file>

<file path=xl/sharedStrings.xml><?xml version="1.0" encoding="utf-8"?>
<sst xmlns="http://schemas.openxmlformats.org/spreadsheetml/2006/main" count="327" uniqueCount="266">
  <si>
    <t>Statistics hands-on 2 — Numerical measures (Sessions 4 and 5)</t>
  </si>
  <si>
    <t>Each sheet (P1 to P8) holds the raw data for the matching problem in the handout. Data starts in row 2 under the dark header row.</t>
  </si>
  <si>
    <t>Work in empty columns to the right of the data, or add a new sheet. Keep the original data unchanged.</t>
  </si>
  <si>
    <t>Python users: keep this file in the same folder as your notebook (or upload it to Colab) and read a sheet with</t>
  </si>
  <si>
    <t xml:space="preserve">    pd.read_excel('Excel_Handson2_Data.xlsx', sheet_name='P1 Salaries')</t>
  </si>
  <si>
    <t>All data are illustrative, created for classroom practice.</t>
  </si>
  <si>
    <t>Employee</t>
  </si>
  <si>
    <t>Monthly salary (Rs 000)</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</si>
  <si>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</si>
  <si>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</si>
  <si>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</si>
  <si>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</si>
  <si>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</si>
  <si>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</si>
  <si>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</si>
  <si>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</si>
  <si>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</si>
  <si>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</si>
  <si>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</si>
  <si>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</si>
  <si>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</si>
  <si>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</si>
  <si>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</si>
  <si>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</si>
  <si>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</si>
  <si>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</si>
  <si>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</si>
  <si>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</si>
  <si>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</si>
  <si>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</si>
  <si>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</si>
  <si>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</si>
  <si>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</si>
  <si>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Course</t>
  </si>
  <si>
    <t>Credits</t>
  </si>
  <si>
    <t>Grade</t>
  </si>
  <si>
    <t>Grade points</t>
  </si>
  <si>
    <t>Purchase date</t>
  </si>
  <si>
    <t>Quantity (kg)</t>
  </si>
  <si>
    <t>Price (Rs per kg)</t>
  </si>
  <si>
    <t>Statistics for Business</t>
  </si>
  <si>
    <t>A</t>
  </si>
  <si>
    <t>1 Apr</t>
  </si>
  <si>
    <t>Principles of Management</t>
  </si>
  <si>
    <t>A+</t>
  </si>
  <si>
    <t>15 Apr</t>
  </si>
  <si>
    <t>Business Communication</t>
  </si>
  <si>
    <t>B+</t>
  </si>
  <si>
    <t>2 May</t>
  </si>
  <si>
    <t>Microeconomics</t>
  </si>
  <si>
    <t>B</t>
  </si>
  <si>
    <t>20 May</t>
  </si>
  <si>
    <t>Financial Accounting</t>
  </si>
  <si>
    <t>Environmental Studies</t>
  </si>
  <si>
    <t>C</t>
  </si>
  <si>
    <t>Student</t>
  </si>
  <si>
    <t>Score (out of 100)</t>
  </si>
  <si>
    <t>S01</t>
  </si>
  <si>
    <t>S02</t>
  </si>
  <si>
    <t>S03</t>
  </si>
  <si>
    <t>S04</t>
  </si>
  <si>
    <t>S05</t>
  </si>
  <si>
    <t>S06</t>
  </si>
  <si>
    <t>S07</t>
  </si>
  <si>
    <t>S08</t>
  </si>
  <si>
    <t>S09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</si>
  <si>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</si>
  <si>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</si>
  <si>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</si>
  <si>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</si>
  <si>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</si>
  <si>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</si>
  <si>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</si>
  <si>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</si>
  <si>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</si>
  <si>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</si>
  <si>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</si>
  <si>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</si>
  <si>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</si>
  <si>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</si>
  <si>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</si>
  <si>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</si>
  <si>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</si>
  <si>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</si>
  <si>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</si>
  <si>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</si>
  <si>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</si>
  <si>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</si>
  <si>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</si>
  <si>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</si>
  <si>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</si>
  <si>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</si>
  <si>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</si>
  <si>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</si>
  <si>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</si>
  <si>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</si>
  <si>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</si>
  <si>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</si>
  <si>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</si>
  <si>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</si>
  <si>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</si>
  <si>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</si>
  <si>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</si>
  <si>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</si>
  <si>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</si>
  <si>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</si>
  <si>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</si>
  <si>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</si>
  <si>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</si>
  <si>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</si>
  <si>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</si>
  <si>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</si>
  <si>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</si>
  <si>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</si>
  <si>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</si>
  <si>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</si>
  <si>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</si>
  <si>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Bottle</t>
  </si>
  <si>
    <t>Machine A (ml)</t>
  </si>
  <si>
    <t>Machine B (ml)</t>
  </si>
  <si>
    <t>Day</t>
  </si>
  <si>
    <t>Product X (units)</t>
  </si>
  <si>
    <t>Product Y (units)</t>
  </si>
  <si>
    <t>Trading day</t>
  </si>
  <si>
    <t>Daily return (%)</t>
  </si>
  <si>
    <t>Height (cm)</t>
  </si>
  <si>
    <t>Sales rep</t>
  </si>
  <si>
    <t>Monthly sales (Rs 000)</t>
  </si>
  <si>
    <t>Kunal</t>
  </si>
  <si>
    <t>Pooja</t>
  </si>
  <si>
    <t>Anaya</t>
  </si>
  <si>
    <t>Aditya</t>
  </si>
  <si>
    <t>Ishaan</t>
  </si>
  <si>
    <t>Isha</t>
  </si>
  <si>
    <t>Diya</t>
  </si>
  <si>
    <t>Om</t>
  </si>
  <si>
    <t>Arjun</t>
  </si>
  <si>
    <t>Reyansh</t>
  </si>
  <si>
    <t>Myra</t>
  </si>
  <si>
    <t>Krish</t>
  </si>
  <si>
    <t>Simran</t>
  </si>
  <si>
    <t>Avni</t>
  </si>
  <si>
    <t>Vikram</t>
  </si>
  <si>
    <t>Meera</t>
  </si>
  <si>
    <t>Aditi</t>
  </si>
  <si>
    <t>Jiya</t>
  </si>
  <si>
    <t>Vivaan</t>
  </si>
  <si>
    <t>Zoya</t>
  </si>
  <si>
    <t>Aarav</t>
  </si>
  <si>
    <t>Neel</t>
  </si>
  <si>
    <t>Kabir</t>
  </si>
  <si>
    <t>Varun</t>
  </si>
  <si>
    <t>Dev</t>
  </si>
  <si>
    <t>Tara</t>
  </si>
  <si>
    <t>Riya</t>
  </si>
  <si>
    <t>Kavya</t>
  </si>
  <si>
    <t>Rohan</t>
  </si>
  <si>
    <t>Nisha</t>
  </si>
  <si>
    <t>Flat</t>
  </si>
  <si>
    <t>Monthly rent (Rs 000)</t>
  </si>
  <si>
    <t>F01</t>
  </si>
  <si>
    <t>F02</t>
  </si>
  <si>
    <t>F03</t>
  </si>
  <si>
    <t>F04</t>
  </si>
  <si>
    <t>F05</t>
  </si>
  <si>
    <t>F06</t>
  </si>
  <si>
    <t>F07</t>
  </si>
  <si>
    <t>F08</t>
  </si>
  <si>
    <t>F09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</si>
  <si>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</si>
  <si>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</si>
  <si>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</si>
  <si>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</si>
  <si>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</si>
  <si>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</si>
  <si>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</si>
  <si>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</si>
  <si>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</si>
  <si>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</si>
  <si>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</si>
  <si>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</si>
  <si>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</si>
  <si>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</si>
  <si>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</si>
  <si>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</si>
  <si>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</si>
  <si>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</si>
  <si>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</si>
  <si>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</si>
  <si>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</si>
  <si>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</si>
  <si>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</si>
  <si>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</si>
  <si>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</si>
  <si>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</si>
  <si>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</si>
  <si>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</si>
  <si>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</si>
  <si>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</si>
  <si>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</si>
  <si>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Study hours per week</t>
  </si>
  <si>
    <t>Social media hours per day</t>
  </si>
  <si>
    <t>Exam marks</t>
  </si>
  <si>
    <r>
      <t>Problem 1 – Startup salaries (25 employees).</t>
    </r>
    <r>
      <rPr>
        <sz val="11"/>
        <color theme="1"/>
        <rFont val="Calibri"/>
        <family val="2"/>
        <scheme val="minor"/>
      </rPr>
      <t xml:space="preserve"> Find the mean, median and mode of monthly salaries. Decide which one HR should quote as a "typical salary" (the median, because two founders pull the mean up). Then work out the budget for hiring 30 more people, which needs the mean because it links to the total.</t>
    </r>
  </si>
  <si>
    <r>
      <t>Problem 2 – CGPA and rice purchases.</t>
    </r>
    <r>
      <rPr>
        <sz val="11"/>
        <color theme="1"/>
        <rFont val="Calibri"/>
        <family val="2"/>
        <scheme val="minor"/>
      </rPr>
      <t xml:space="preserve"> Calculate a semester CGPA using course credits as weights. Calculate the average price per kg of rice bought in four lots, using the quantities as weights. In both parts, compare the weighted mean with the simple average and explain why they differ.</t>
    </r>
  </si>
  <si>
    <r>
      <t>Problem 3 – Entrance test scores (60 students).</t>
    </r>
    <r>
      <rPr>
        <sz val="11"/>
        <color theme="1"/>
        <rFont val="Calibri"/>
        <family val="2"/>
        <scheme val="minor"/>
      </rPr>
      <t xml:space="preserve"> Find the 10th to 95th percentiles using the class method (i = p/100 × n). Compare these with Excel's </t>
    </r>
    <r>
      <rPr>
        <sz val="10"/>
        <color theme="1"/>
        <rFont val="Arial Unicode MS"/>
      </rPr>
      <t>PERCENTILE.INC</t>
    </r>
    <r>
      <rPr>
        <sz val="11"/>
        <color theme="1"/>
        <rFont val="Calibri"/>
        <family val="2"/>
        <scheme val="minor"/>
      </rPr>
      <t xml:space="preserve"> and </t>
    </r>
    <r>
      <rPr>
        <sz val="10"/>
        <color theme="1"/>
        <rFont val="Arial Unicode MS"/>
      </rPr>
      <t>.EXC</t>
    </r>
    <r>
      <rPr>
        <sz val="11"/>
        <color theme="1"/>
        <rFont val="Calibri"/>
        <family val="2"/>
        <scheme val="minor"/>
      </rPr>
      <t>. Then find Q1, Q3 and the IQR, interpret the 80th percentile, and find the percentile rank of a score of 75.</t>
    </r>
  </si>
  <si>
    <r>
      <t>Problem 4 – Bottling machines and product demand.</t>
    </r>
    <r>
      <rPr>
        <sz val="11"/>
        <color theme="1"/>
        <rFont val="Calibri"/>
        <family val="2"/>
        <scheme val="minor"/>
      </rPr>
      <t xml:space="preserve"> Compare two machines filling 500 ml bottles using range, IQR, variance and SD, worked out once by hand and then with functions. Compare sample and population versions. Then use the CV to decide whether a high-selling or a low-selling product has harder-to-predict demand. In Python, run a simulation showing why we divide by n − 1.</t>
    </r>
  </si>
  <si>
    <r>
      <t>Problem 5 – Shape of data.</t>
    </r>
    <r>
      <rPr>
        <sz val="11"/>
        <color theme="1"/>
        <rFont val="Calibri"/>
        <family val="2"/>
        <scheme val="minor"/>
      </rPr>
      <t xml:space="preserve"> For salaries, daily stock returns and student heights, find skewness and kurtosis and draw histograms. Classify each as symmetric, right-skewed or left-skewed, and as leptokurtic or mesokurtic. Remember that Excel's </t>
    </r>
    <r>
      <rPr>
        <sz val="10"/>
        <color theme="1"/>
        <rFont val="Arial Unicode MS"/>
      </rPr>
      <t>KURT</t>
    </r>
    <r>
      <rPr>
        <sz val="11"/>
        <color theme="1"/>
        <rFont val="Calibri"/>
        <family val="2"/>
        <scheme val="minor"/>
      </rPr>
      <t xml:space="preserve"> gives excess kurtosis, so add 3 before comparing with the benchmark of 3.</t>
    </r>
  </si>
  <si>
    <r>
      <t>Problem 6 – Sales team (30 reps).</t>
    </r>
    <r>
      <rPr>
        <sz val="11"/>
        <color theme="1"/>
        <rFont val="Calibri"/>
        <family val="2"/>
        <scheme val="minor"/>
      </rPr>
      <t xml:space="preserve"> Find z-scores for all reps and interpret Aditi's. Check what share of reps fall within 1, 2 and 3 SD, and compare with Chebyshev's theorem and the empirical rule. Spot the outlier (|z| &gt; 3), then remove it and see how the SD and Aditi's z-score change.</t>
    </r>
  </si>
  <si>
    <r>
      <t>Problem 7 – Flat rents (40 flats).</t>
    </r>
    <r>
      <rPr>
        <sz val="11"/>
        <color theme="1"/>
        <rFont val="Calibri"/>
        <family val="2"/>
        <scheme val="minor"/>
      </rPr>
      <t xml:space="preserve"> Build the five-number summary, IQR and outlier fences (Q1 − 1.5 IQR, Q3 + 1.5 IQR). Draw a box plot and identify the outlier rents. Decide whether to publish the mean or median rent. A warm-up first asks students to draw a box plot by hand for the 10 values from your slide.</t>
    </r>
  </si>
  <si>
    <r>
      <t>Problem 8 – Study hours, social media and marks (15 students).</t>
    </r>
    <r>
      <rPr>
        <sz val="11"/>
        <color theme="1"/>
        <rFont val="Calibri"/>
        <family val="2"/>
        <scheme val="minor"/>
      </rPr>
      <t xml:space="preserve"> Find the covariance and correlation of marks with study hours and with social media hours, and draw scatter plots. Convert hours to minutes to show that covariance changes but correlation doesn't. Discuss why the data doesn't prove that social media causes lower marks.</t>
    </r>
  </si>
  <si>
    <t xml:space="preserve">Mean </t>
  </si>
  <si>
    <t>Median</t>
  </si>
  <si>
    <t xml:space="preserve">Mode </t>
  </si>
  <si>
    <t>Credits × point</t>
  </si>
  <si>
    <t>p</t>
  </si>
  <si>
    <t>Index i</t>
  </si>
  <si>
    <t>Class method</t>
  </si>
  <si>
    <t>PERCENTILE.INC</t>
  </si>
  <si>
    <t>PERCENTILE.EXC</t>
  </si>
  <si>
    <t>PERCENTRANK.INC</t>
  </si>
  <si>
    <t xml:space="preserve">Deviation </t>
  </si>
  <si>
    <t>Squared</t>
  </si>
  <si>
    <t>Mean</t>
  </si>
  <si>
    <t>Range</t>
  </si>
  <si>
    <t>Q1</t>
  </si>
  <si>
    <t>Q3</t>
  </si>
  <si>
    <t>IQR,</t>
  </si>
  <si>
    <t>Var (sample)</t>
  </si>
  <si>
    <t>SD (sample)</t>
  </si>
  <si>
    <t>Var (population)</t>
  </si>
  <si>
    <t>SD (population</t>
  </si>
  <si>
    <t>CV %</t>
  </si>
  <si>
    <t>Machine A,</t>
  </si>
  <si>
    <t>Machine B</t>
  </si>
  <si>
    <t>Product X</t>
  </si>
  <si>
    <t>Product Y</t>
  </si>
  <si>
    <t>Skewness</t>
  </si>
  <si>
    <t>Kurtosis</t>
  </si>
  <si>
    <t>Excess Kurtosis</t>
  </si>
  <si>
    <t>Metric</t>
  </si>
  <si>
    <t xml:space="preserve">Salaries </t>
  </si>
  <si>
    <t xml:space="preserve">Daily Returns </t>
  </si>
  <si>
    <t xml:space="preserve">Heights </t>
  </si>
  <si>
    <t>SD</t>
  </si>
  <si>
    <t>z</t>
  </si>
  <si>
    <t>/z/</t>
  </si>
  <si>
    <t>-</t>
  </si>
  <si>
    <t>Min</t>
  </si>
  <si>
    <t>Max</t>
  </si>
  <si>
    <t>IQR</t>
  </si>
  <si>
    <t>fences</t>
  </si>
  <si>
    <t>Product of deviations</t>
  </si>
  <si>
    <t>Study Minutes</t>
  </si>
  <si>
    <t>Pair</t>
  </si>
  <si>
    <t>Covariance</t>
  </si>
  <si>
    <t>Study hours, marks</t>
  </si>
  <si>
    <t>0.89 (strong positive)</t>
  </si>
  <si>
    <t>Social media hours, marks</t>
  </si>
  <si>
    <t>-0.58 (moderate negative)</t>
  </si>
  <si>
    <t>Study hours, social media hours</t>
  </si>
  <si>
    <t>—</t>
  </si>
  <si>
    <t>-0.80 (strong negative)</t>
  </si>
  <si>
    <t>Study minutes, marks</t>
  </si>
  <si>
    <t>0.89 (unchanged)</t>
  </si>
  <si>
    <t xml:space="preserve">Correlation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</si>
</sst>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3"/>
      <name val="Arial"/>
      <family val="2"/>
    </font>
    <font>
      <sz val="10"/>
      <name val="Arial"/>
      <family val="2"/>
    </font>
    <font>
      <b/>
      <sz val="11"/>
      <color rgb="FFFFFFFF"/>
      <name val="Arial"/>
      <family val="2"/>
    </font>
    <font>
      <sz val="11"/>
      <name val="Arial"/>
      <family val="2"/>
    </font>
    <font>
      <b/>
      <sz val="11"/>
      <color theme="1"/>
      <name val="Calibri"/>
      <family val="2"/>
      <scheme val="minor"/>
    </font>
    <font>
      <sz val="10"/>
      <color theme="1"/>
      <name val="Arial Unicode MS"/>
    </font>
    <font>
      <sz val="8"/>
      <name val="Calibri"/>
      <family val="2"/>
      <scheme val="minor"/>
    </font>
    <font>
      <sz val="11"/>
      <color rgb="FF1F1F1F"/>
      <name val="Arial"/>
      <family val="2"/>
    </font>
    <font>
      <b/>
      <sz val="11"/>
      <color rgb="FF1F1F1F"/>
      <name val="Arial"/>
      <family val="2"/>
    </font>
    <font>
      <sz val="15"/>
      <color rgb="FF1F1F1F"/>
      <name val="Google Sans Text"/>
      <family val="2"/>
    </font>
    <font>
      <sz val="11"/>
      <color rgb="FF000000"/>
      <name val="Calibri"/>
      <family val="2"/>
      <scheme val="minor"/>
    </font>
  </fonts>
  <fills count="5">
    <fill>
      <patternFill patternType="none"/>
    </fill>
    <fill>
      <patternFill patternType="gray125"/>
    </fill>
    <fill>
      <patternFill patternType="solid">
        <fgColor rgb="FF1F2A5A"/>
      </patternFill>
    </fill>
    <fill>
      <patternFill patternType="solid">
        <fgColor rgb="FFFFFF00"/>
        <bgColor indexed="64"/>
      </patternFill>
    </fill>
    <fill>
      <patternFill patternType="solid">
        <fgColor rgb="FF1F2A5A"/>
        <bgColor rgb="FF000000"/>
      </patternFill>
    </fill>
  </fills>
  <borders count="2">
    <border>
      <left/>
      <right/>
      <top/>
      <bottom/>
      <diagonal/>
    </border>
    <border>
      <left/>
      <right/>
      <top/>
      <bottom style="thin">
        <color theme="1"/>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0" xfId="0" applyFont="1" applyFill="1" applyAlignment="1">
      <alignment horizontal="center" wrapText="1"/>
    </xf>
    <xf numFmtId="0" fontId="4" fillId="0" borderId="0" xfId="0" applyFont="1"/>
    <xf numFmtId="0" fontId="5" fillId="0" borderId="0" xfId="0" applyFont="1"/>
    <xf numFmtId="0" fontId="0" fillId="0" borderId="0" xfId="0" applyAlignment="1">
      <alignment horizontal="center"/>
    </xf>
    <xf numFmtId="0" fontId="4" fillId="0" borderId="0" xfId="0" applyFont="1" applyAlignment="1">
      <alignment horizontal="center"/>
    </xf>
    <xf numFmtId="0" fontId="3" fillId="2" borderId="0" xfId="0" applyFont="1" applyFill="1" applyAlignment="1">
      <alignment horizontal="center" vertical="center" wrapText="1"/>
    </xf>
    <xf numFmtId="0" fontId="0" fillId="3" borderId="1" xfId="0" applyFill="1" applyBorder="1"/>
    <xf numFmtId="0" fontId="3" fillId="4" borderId="0" xfId="0" applyFont="1" applyFill="1" applyAlignment="1">
      <alignment horizontal="center" wrapText="1"/>
    </xf>
    <xf numFmtId="0" fontId="9" fillId="0" borderId="0" xfId="0" applyFont="1"/>
    <xf numFmtId="0" fontId="8" fillId="0" borderId="0" xfId="0" applyFont="1"/>
    <xf numFmtId="0" fontId="10" fillId="0" borderId="0" xfId="0" applyFont="1"/>
    <xf numFmtId="0" fontId="11" fillId="0" borderId="0" xfId="0" applyFont="1"/>
    <xf numFmtId="0" fontId="11" fillId="0" borderId="0" xfId="0" applyFont="1" applyAlignment="1">
      <alignment horizontal="center" vertical="center"/>
    </xf>
    <xf numFmtId="0" fontId="0" fillId="0" borderId="0" xfId="0" applyAlignment="1">
      <alignment horizontal="center" vertical="center"/>
    </xf>
    <xf numFmtId="4" fontId="8" fillId="0" borderId="0" xfId="0" applyNumberFormat="1" applyFont="1"/>
    <xf numFmtId="0" fontId="8" fillId="0" borderId="0" xfId="0" applyFont="1" applyAlignment="1">
      <alignment horizontal="center" vertical="center"/>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5"/>
        <color rgb="FF1F1F1F"/>
        <name val="Google Sans Text"/>
        <family val="2"/>
        <scheme val="none"/>
      </font>
    </dxf>
    <dxf>
      <font>
        <b val="0"/>
        <i val="0"/>
        <strike val="0"/>
        <condense val="0"/>
        <extend val="0"/>
        <outline val="0"/>
        <shadow val="0"/>
        <u val="none"/>
        <vertAlign val="baseline"/>
        <sz val="15"/>
        <color rgb="FF1F1F1F"/>
        <name val="Google Sans Text"/>
        <family val="2"/>
        <scheme val="none"/>
      </font>
    </dxf>
    <dxf>
      <font>
        <b val="0"/>
        <i val="0"/>
        <strike val="0"/>
        <condense val="0"/>
        <extend val="0"/>
        <outline val="0"/>
        <shadow val="0"/>
        <u val="none"/>
        <vertAlign val="baseline"/>
        <sz val="15"/>
        <color rgb="FF1F1F1F"/>
        <name val="Google Sans Text"/>
        <family val="2"/>
        <scheme val="none"/>
      </font>
    </dxf>
    <dxf>
      <font>
        <b/>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5"/>
        <color rgb="FF1F1F1F"/>
        <name val="Google Sans Text"/>
        <family val="2"/>
        <scheme val="none"/>
      </font>
    </dxf>
    <dxf>
      <font>
        <b/>
        <i val="0"/>
        <strike val="0"/>
        <condense val="0"/>
        <extend val="0"/>
        <outline val="0"/>
        <shadow val="0"/>
        <u val="none"/>
        <vertAlign val="baseline"/>
        <sz val="11"/>
        <color rgb="FF1F1F1F"/>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Daily return (%)</a:t>
          </a:r>
        </a:p>
      </cx:txPr>
    </cx:title>
    <cx:plotArea>
      <cx:plotAreaRegion>
        <cx:series layoutId="clusteredColumn" uniqueId="{00000000-7888-CA44-A312-61A2047D002B}">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Height (cm)</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Height (cm)</a:t>
          </a:r>
        </a:p>
      </cx:txPr>
    </cx:title>
    <cx:plotArea>
      <cx:plotAreaRegion>
        <cx:series layoutId="clusteredColumn" uniqueId="{00000000-9E28-F145-B90A-81DFD49C4371}">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Salaries</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Salaries</a:t>
          </a:r>
        </a:p>
      </cx:txPr>
      <cx:extLst>
        <cx:ext uri="ext:featex">
          <cx:featureExtension feature="mp" drop="onModelChange">
            <cx:offset left="-0.11573928594589233"/>
          </cx:featureExtension>
        </cx:ext>
      </cx:extLst>
    </cx:title>
    <cx:plotArea>
      <cx:plotAreaRegion>
        <cx:series layoutId="clusteredColumn" uniqueId="{00000000-F4F3-904B-BE40-72AC47F5A74B}">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 Monthly Rent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 Monthly Rent</a:t>
          </a:r>
        </a:p>
      </cx:txPr>
    </cx:title>
    <cx:plotArea>
      <cx:plotAreaRegion>
        <cx:series layoutId="boxWhisker" uniqueId="{00000000-41AF-6745-8F75-EB370970B248}">
          <cx:tx>
            <cx:txData>
              <cx:f>_xlchart.v1.3</cx:f>
              <cx:v>Monthly rent (Rs 000)</cx:v>
            </cx:txData>
          </cx:tx>
          <cx:dataId val="0"/>
          <cx:layoutPr>
            <cx:visibility meanLine="0" meanMarker="1" nonoutliers="0" outliers="1"/>
            <cx:statistics quartileMethod="in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5</xdr:col>
      <xdr:colOff>472215</xdr:colOff>
      <xdr:row>6</xdr:row>
      <xdr:rowOff>231627</xdr:rowOff>
    </xdr:from>
    <xdr:to>
      <xdr:col>9</xdr:col>
      <xdr:colOff>275543</xdr:colOff>
      <xdr:row>19</xdr:row>
      <xdr:rowOff>22374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8ECD46C-4AB3-0675-DBE9-6CACFCD7D6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21915" y="2022327"/>
              <a:ext cx="4565828" cy="277524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430389</xdr:colOff>
      <xdr:row>6</xdr:row>
      <xdr:rowOff>221780</xdr:rowOff>
    </xdr:from>
    <xdr:to>
      <xdr:col>13</xdr:col>
      <xdr:colOff>428038</xdr:colOff>
      <xdr:row>18</xdr:row>
      <xdr:rowOff>119239</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CCA5C08-1D10-D79D-E523-86DF9F8A57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42589" y="2012480"/>
              <a:ext cx="4582349" cy="269145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524463</xdr:colOff>
      <xdr:row>20</xdr:row>
      <xdr:rowOff>115948</xdr:rowOff>
    </xdr:from>
    <xdr:to>
      <xdr:col>9</xdr:col>
      <xdr:colOff>2144889</xdr:colOff>
      <xdr:row>35</xdr:row>
      <xdr:rowOff>36926</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2C6FA7A-16DC-4AC1-6EC6-45D58A0045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77563" y="5081648"/>
              <a:ext cx="4579526" cy="277847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450850</xdr:colOff>
      <xdr:row>14</xdr:row>
      <xdr:rowOff>158750</xdr:rowOff>
    </xdr:from>
    <xdr:to>
      <xdr:col>9</xdr:col>
      <xdr:colOff>311150</xdr:colOff>
      <xdr:row>29</xdr:row>
      <xdr:rowOff>44450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3617BB2-F885-C4B2-5298-1E6A70EDAF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27250" y="30289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C1BD7C-B2E7-5743-AF84-C05DAA8D6427}" name="Table3" displayName="Table3" ref="G1:J6" totalsRowShown="0" headerRowDxfId="10" dataDxfId="9">
  <autoFilter ref="G1:J6" xr:uid="{F6C1BD7C-B2E7-5743-AF84-C05DAA8D6427}"/>
  <tableColumns count="4">
    <tableColumn id="1" xr3:uid="{C1C948A5-B475-B743-9870-2EFB273C73C5}" name="Metric" dataDxfId="8"/>
    <tableColumn id="2" xr3:uid="{D386BE67-5D28-C242-9626-62D6B777AA15}" name="Daily Returns " dataDxfId="7"/>
    <tableColumn id="3" xr3:uid="{B7B8604F-9A23-9840-B8CB-7D464F7D4D5A}" name="Heights " dataDxfId="6"/>
    <tableColumn id="4" xr3:uid="{1D3A78DC-40FB-A849-90F3-26B2A0F44870}" name="Salaries "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workbookViewId="0">
      <selection activeCell="A27" sqref="A27"/>
    </sheetView>
  </sheetViews>
  <sheetFormatPr baseColWidth="10" defaultColWidth="8.83203125" defaultRowHeight="15"/>
  <cols>
    <col min="1" max="1" width="120" customWidth="1"/>
  </cols>
  <sheetData>
    <row r="1" spans="1:1" ht="17">
      <c r="A1" s="1" t="s">
        <v>0</v>
      </c>
    </row>
    <row r="2" spans="1:1">
      <c r="A2" s="2" t="s">
        <v>1</v>
      </c>
    </row>
    <row r="3" spans="1:1">
      <c r="A3" s="2" t="s">
        <v>2</v>
      </c>
    </row>
    <row r="4" spans="1:1">
      <c r="A4" s="2" t="s">
        <v>3</v>
      </c>
    </row>
    <row r="5" spans="1:1">
      <c r="A5" s="2" t="s">
        <v>4</v>
      </c>
    </row>
    <row r="6" spans="1:1">
      <c r="A6" s="2" t="s">
        <v>5</v>
      </c>
    </row>
    <row r="8" spans="1:1">
      <c r="A8" s="5" t="s">
        <v>203</v>
      </c>
    </row>
    <row r="10" spans="1:1">
      <c r="A10" s="5" t="s">
        <v>204</v>
      </c>
    </row>
    <row r="12" spans="1:1" ht="16">
      <c r="A12" s="5" t="s">
        <v>205</v>
      </c>
    </row>
    <row r="14" spans="1:1">
      <c r="A14" s="5" t="s">
        <v>206</v>
      </c>
    </row>
    <row r="16" spans="1:1" ht="16">
      <c r="A16" s="5" t="s">
        <v>207</v>
      </c>
    </row>
    <row r="18" spans="1:1">
      <c r="A18" s="5" t="s">
        <v>208</v>
      </c>
    </row>
    <row r="20" spans="1:1">
      <c r="A20" s="5" t="s">
        <v>209</v>
      </c>
    </row>
    <row r="22" spans="1:1">
      <c r="A22" s="5" t="s">
        <v>210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election activeCell="B1" sqref="B1:B26"/>
    </sheetView>
  </sheetViews>
  <sheetFormatPr baseColWidth="10" defaultColWidth="8.83203125" defaultRowHeight="15"/>
  <cols>
    <col min="1" max="1" width="11" customWidth="1"/>
    <col min="2" max="2" width="16" customWidth="1"/>
  </cols>
  <sheetData>
    <row r="1" spans="1:5" ht="31">
      <c r="A1" s="3" t="s">
        <v>6</v>
      </c>
      <c r="B1" s="3" t="s">
        <v>7</v>
      </c>
      <c r="D1" s="8" t="s">
        <v>211</v>
      </c>
      <c r="E1">
        <f>AVERAGE(B2:B26)</f>
        <v>74.400000000000006</v>
      </c>
    </row>
    <row r="2" spans="1:5">
      <c r="A2" s="4" t="s">
        <v>8</v>
      </c>
      <c r="B2" s="4">
        <v>70</v>
      </c>
      <c r="D2" s="8" t="s">
        <v>212</v>
      </c>
      <c r="E2">
        <f>MEDIAN(B2:B26)</f>
        <v>60</v>
      </c>
    </row>
    <row r="3" spans="1:5">
      <c r="A3" s="4" t="s">
        <v>9</v>
      </c>
      <c r="B3" s="4">
        <v>60</v>
      </c>
      <c r="D3" s="8" t="s">
        <v>213</v>
      </c>
      <c r="E3">
        <f>_xlfn.MODE.SNGL(B2:B26)</f>
        <v>45</v>
      </c>
    </row>
    <row r="4" spans="1:5">
      <c r="A4" s="4" t="s">
        <v>10</v>
      </c>
      <c r="B4" s="4">
        <v>55</v>
      </c>
    </row>
    <row r="5" spans="1:5">
      <c r="A5" s="4" t="s">
        <v>11</v>
      </c>
      <c r="B5" s="4">
        <v>80</v>
      </c>
      <c r="D5">
        <f>E1*30*12</f>
        <v>26784</v>
      </c>
    </row>
    <row r="6" spans="1:5">
      <c r="A6" s="4" t="s">
        <v>12</v>
      </c>
      <c r="B6" s="4">
        <v>75</v>
      </c>
      <c r="D6">
        <f>E2*30*12</f>
        <v>21600</v>
      </c>
    </row>
    <row r="7" spans="1:5">
      <c r="A7" s="4" t="s">
        <v>13</v>
      </c>
      <c r="B7" s="4">
        <v>48</v>
      </c>
    </row>
    <row r="8" spans="1:5">
      <c r="A8" s="4" t="s">
        <v>14</v>
      </c>
      <c r="B8" s="4">
        <v>45</v>
      </c>
    </row>
    <row r="9" spans="1:5">
      <c r="A9" s="4" t="s">
        <v>15</v>
      </c>
      <c r="B9" s="4">
        <v>55</v>
      </c>
    </row>
    <row r="10" spans="1:5">
      <c r="A10" s="4" t="s">
        <v>16</v>
      </c>
      <c r="B10" s="4">
        <v>68</v>
      </c>
    </row>
    <row r="11" spans="1:5">
      <c r="A11" s="4" t="s">
        <v>17</v>
      </c>
      <c r="B11" s="4">
        <v>95</v>
      </c>
    </row>
    <row r="12" spans="1:5">
      <c r="A12" s="4" t="s">
        <v>18</v>
      </c>
      <c r="B12" s="4">
        <v>58</v>
      </c>
    </row>
    <row r="13" spans="1:5">
      <c r="A13" s="4" t="s">
        <v>19</v>
      </c>
      <c r="B13" s="4">
        <v>72</v>
      </c>
    </row>
    <row r="14" spans="1:5">
      <c r="A14" s="4" t="s">
        <v>20</v>
      </c>
      <c r="B14" s="4">
        <v>42</v>
      </c>
    </row>
    <row r="15" spans="1:5">
      <c r="A15" s="4" t="s">
        <v>21</v>
      </c>
      <c r="B15" s="4">
        <v>65</v>
      </c>
    </row>
    <row r="16" spans="1:5">
      <c r="A16" s="4" t="s">
        <v>22</v>
      </c>
      <c r="B16" s="4">
        <v>120</v>
      </c>
    </row>
    <row r="17" spans="1:2">
      <c r="A17" s="4" t="s">
        <v>23</v>
      </c>
      <c r="B17" s="4">
        <v>62</v>
      </c>
    </row>
    <row r="18" spans="1:2">
      <c r="A18" s="4" t="s">
        <v>24</v>
      </c>
      <c r="B18" s="4">
        <v>45</v>
      </c>
    </row>
    <row r="19" spans="1:2">
      <c r="A19" s="4" t="s">
        <v>25</v>
      </c>
      <c r="B19" s="4">
        <v>180</v>
      </c>
    </row>
    <row r="20" spans="1:2">
      <c r="A20" s="4" t="s">
        <v>26</v>
      </c>
      <c r="B20" s="4">
        <v>45</v>
      </c>
    </row>
    <row r="21" spans="1:2">
      <c r="A21" s="4" t="s">
        <v>27</v>
      </c>
      <c r="B21" s="4">
        <v>250</v>
      </c>
    </row>
    <row r="22" spans="1:2">
      <c r="A22" s="4" t="s">
        <v>28</v>
      </c>
      <c r="B22" s="4">
        <v>50</v>
      </c>
    </row>
    <row r="23" spans="1:2">
      <c r="A23" s="4" t="s">
        <v>29</v>
      </c>
      <c r="B23" s="4">
        <v>52</v>
      </c>
    </row>
    <row r="24" spans="1:2">
      <c r="A24" s="4" t="s">
        <v>30</v>
      </c>
      <c r="B24" s="4">
        <v>38</v>
      </c>
    </row>
    <row r="25" spans="1:2">
      <c r="A25" s="4" t="s">
        <v>31</v>
      </c>
      <c r="B25" s="4">
        <v>45</v>
      </c>
    </row>
    <row r="26" spans="1:2">
      <c r="A26" s="4" t="s">
        <v>32</v>
      </c>
      <c r="B26" s="4">
        <v>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election activeCell="E10" sqref="E10"/>
    </sheetView>
  </sheetViews>
  <sheetFormatPr baseColWidth="10" defaultColWidth="8.83203125" defaultRowHeight="15"/>
  <cols>
    <col min="1" max="1" width="27" customWidth="1"/>
    <col min="2" max="2" width="9" style="6" customWidth="1"/>
    <col min="3" max="3" width="8" style="6" customWidth="1"/>
    <col min="4" max="4" width="9" style="6" customWidth="1"/>
    <col min="5" max="5" width="8.83203125" style="6"/>
    <col min="6" max="6" width="13" style="6" customWidth="1"/>
    <col min="7" max="7" width="11" style="6" customWidth="1"/>
    <col min="8" max="8" width="12" style="6" customWidth="1"/>
  </cols>
  <sheetData>
    <row r="1" spans="1:8" ht="31">
      <c r="A1" s="3" t="s">
        <v>33</v>
      </c>
      <c r="B1" s="3" t="s">
        <v>34</v>
      </c>
      <c r="C1" s="3" t="s">
        <v>35</v>
      </c>
      <c r="D1" s="3" t="s">
        <v>36</v>
      </c>
      <c r="E1" s="3" t="s">
        <v>214</v>
      </c>
      <c r="F1" s="3" t="s">
        <v>37</v>
      </c>
      <c r="G1" s="3" t="s">
        <v>38</v>
      </c>
      <c r="H1" s="3" t="s">
        <v>39</v>
      </c>
    </row>
    <row r="2" spans="1:8">
      <c r="A2" s="4" t="s">
        <v>40</v>
      </c>
      <c r="B2" s="7">
        <v>4</v>
      </c>
      <c r="C2" s="7" t="s">
        <v>41</v>
      </c>
      <c r="D2" s="7">
        <v>9</v>
      </c>
      <c r="E2">
        <f>B2*D2</f>
        <v>36</v>
      </c>
      <c r="F2" s="7" t="s">
        <v>42</v>
      </c>
      <c r="G2" s="7">
        <v>50</v>
      </c>
      <c r="H2" s="7">
        <v>48</v>
      </c>
    </row>
    <row r="3" spans="1:8">
      <c r="A3" s="4" t="s">
        <v>43</v>
      </c>
      <c r="B3" s="7">
        <v>3</v>
      </c>
      <c r="C3" s="7" t="s">
        <v>44</v>
      </c>
      <c r="D3" s="7">
        <v>10</v>
      </c>
      <c r="E3">
        <f t="shared" ref="E3:E7" si="0">B3*D3</f>
        <v>30</v>
      </c>
      <c r="F3" s="7" t="s">
        <v>45</v>
      </c>
      <c r="G3" s="7">
        <v>200</v>
      </c>
      <c r="H3" s="7">
        <v>42</v>
      </c>
    </row>
    <row r="4" spans="1:8">
      <c r="A4" s="4" t="s">
        <v>46</v>
      </c>
      <c r="B4" s="7">
        <v>2</v>
      </c>
      <c r="C4" s="7" t="s">
        <v>47</v>
      </c>
      <c r="D4" s="7">
        <v>7</v>
      </c>
      <c r="E4">
        <f t="shared" si="0"/>
        <v>14</v>
      </c>
      <c r="F4" s="7" t="s">
        <v>48</v>
      </c>
      <c r="G4" s="7">
        <v>30</v>
      </c>
      <c r="H4" s="7">
        <v>55</v>
      </c>
    </row>
    <row r="5" spans="1:8">
      <c r="A5" s="4" t="s">
        <v>49</v>
      </c>
      <c r="B5" s="7">
        <v>4</v>
      </c>
      <c r="C5" s="7" t="s">
        <v>50</v>
      </c>
      <c r="D5" s="7">
        <v>6</v>
      </c>
      <c r="E5">
        <f t="shared" si="0"/>
        <v>24</v>
      </c>
      <c r="F5" s="7" t="s">
        <v>51</v>
      </c>
      <c r="G5" s="7">
        <v>120</v>
      </c>
      <c r="H5" s="7">
        <v>44</v>
      </c>
    </row>
    <row r="6" spans="1:8">
      <c r="A6" s="4" t="s">
        <v>52</v>
      </c>
      <c r="B6" s="7">
        <v>4</v>
      </c>
      <c r="C6" s="7" t="s">
        <v>41</v>
      </c>
      <c r="D6" s="7">
        <v>9</v>
      </c>
      <c r="E6">
        <f t="shared" si="0"/>
        <v>36</v>
      </c>
    </row>
    <row r="7" spans="1:8">
      <c r="A7" s="4" t="s">
        <v>53</v>
      </c>
      <c r="B7" s="7">
        <v>1</v>
      </c>
      <c r="C7" s="7" t="s">
        <v>54</v>
      </c>
      <c r="D7" s="7">
        <v>5</v>
      </c>
      <c r="E7">
        <f t="shared" si="0"/>
        <v>5</v>
      </c>
      <c r="H7">
        <f>SUMPRODUCT(G2:G5, H2:H5)/SUM(G2:G5)</f>
        <v>44.325000000000003</v>
      </c>
    </row>
    <row r="8" spans="1:8">
      <c r="H8">
        <f>AVERAGE(H2:H5)</f>
        <v>47.25</v>
      </c>
    </row>
    <row r="9" spans="1:8">
      <c r="E9">
        <f>SUM(E2:E7)/SUM(B2:B7)</f>
        <v>8.0555555555555554</v>
      </c>
    </row>
    <row r="10" spans="1:8">
      <c r="E10">
        <f>SUMPRODUCT(B2:B7, D2:D7)/SUM(B2:B7)</f>
        <v>8.0555555555555554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workbookViewId="0">
      <selection activeCell="H15" sqref="H15"/>
    </sheetView>
  </sheetViews>
  <sheetFormatPr baseColWidth="10" defaultColWidth="8.83203125" defaultRowHeight="15"/>
  <cols>
    <col min="1" max="1" width="10" customWidth="1"/>
    <col min="2" max="2" width="14" customWidth="1"/>
    <col min="7" max="7" width="17.83203125" customWidth="1"/>
    <col min="8" max="8" width="14.6640625" customWidth="1"/>
  </cols>
  <sheetData>
    <row r="1" spans="1:8" ht="31">
      <c r="A1" s="3" t="s">
        <v>55</v>
      </c>
      <c r="B1" s="3" t="s">
        <v>56</v>
      </c>
      <c r="D1" s="3" t="s">
        <v>215</v>
      </c>
      <c r="E1" s="3" t="s">
        <v>216</v>
      </c>
      <c r="F1" s="3" t="s">
        <v>217</v>
      </c>
      <c r="G1" s="3" t="s">
        <v>218</v>
      </c>
      <c r="H1" s="3" t="s">
        <v>219</v>
      </c>
    </row>
    <row r="2" spans="1:8">
      <c r="A2" s="4" t="s">
        <v>57</v>
      </c>
      <c r="B2" s="4">
        <v>66</v>
      </c>
      <c r="D2">
        <v>10</v>
      </c>
      <c r="E2">
        <f>D2/100*COUNT($B$2:$B$61)</f>
        <v>6</v>
      </c>
      <c r="F2">
        <f>IF(E2=INT(E2),(SMALL($B$2:$B$61,E2)+SMALL($B$2:$B$61,E2+1))/2,SMALL($B$2:$B$61,ROUNDUP(E2,0)))</f>
        <v>50</v>
      </c>
      <c r="G2">
        <f>_xlfn.PERCENTILE.INC($B$2:$B$61, D2/100)</f>
        <v>50</v>
      </c>
      <c r="H2">
        <f>_xlfn.PERCENTILE.EXC($B$2:$B$61, D2/100)</f>
        <v>50</v>
      </c>
    </row>
    <row r="3" spans="1:8">
      <c r="A3" s="4" t="s">
        <v>58</v>
      </c>
      <c r="B3" s="4">
        <v>47</v>
      </c>
      <c r="D3">
        <v>25</v>
      </c>
      <c r="E3">
        <f t="shared" ref="E3:E9" si="0">D3/100*COUNT($B$2:$B$61)</f>
        <v>15</v>
      </c>
      <c r="F3">
        <f t="shared" ref="F3:F9" si="1">IF(E3=INT(E3),(SMALL($B$2:$B$61,E3)+SMALL($B$2:$B$61,E3+1))/2,SMALL($B$2:$B$61,ROUNDUP(E3,0)))</f>
        <v>55</v>
      </c>
      <c r="G3">
        <f t="shared" ref="G3:G9" si="2">_xlfn.PERCENTILE.INC($B$2:$B$61, D3/100)</f>
        <v>55</v>
      </c>
      <c r="H3">
        <f t="shared" ref="H3:H9" si="3">_xlfn.PERCENTILE.EXC($B$2:$B$61, D3/100)</f>
        <v>55</v>
      </c>
    </row>
    <row r="4" spans="1:8">
      <c r="A4" s="4" t="s">
        <v>59</v>
      </c>
      <c r="B4" s="4">
        <v>73</v>
      </c>
      <c r="D4">
        <v>50</v>
      </c>
      <c r="E4">
        <f t="shared" si="0"/>
        <v>30</v>
      </c>
      <c r="F4">
        <f t="shared" si="1"/>
        <v>64</v>
      </c>
      <c r="G4">
        <f t="shared" si="2"/>
        <v>64</v>
      </c>
      <c r="H4">
        <f t="shared" si="3"/>
        <v>64</v>
      </c>
    </row>
    <row r="5" spans="1:8">
      <c r="A5" s="4" t="s">
        <v>60</v>
      </c>
      <c r="B5" s="4">
        <v>75</v>
      </c>
      <c r="D5">
        <v>75</v>
      </c>
      <c r="E5">
        <f t="shared" si="0"/>
        <v>45</v>
      </c>
      <c r="F5">
        <f t="shared" si="1"/>
        <v>71</v>
      </c>
      <c r="G5">
        <f t="shared" si="2"/>
        <v>71</v>
      </c>
      <c r="H5">
        <f t="shared" si="3"/>
        <v>71</v>
      </c>
    </row>
    <row r="6" spans="1:8">
      <c r="A6" s="4" t="s">
        <v>61</v>
      </c>
      <c r="B6" s="4">
        <v>35</v>
      </c>
      <c r="D6">
        <v>80</v>
      </c>
      <c r="E6">
        <f t="shared" si="0"/>
        <v>48</v>
      </c>
      <c r="F6">
        <f t="shared" si="1"/>
        <v>72.5</v>
      </c>
      <c r="G6">
        <f t="shared" si="2"/>
        <v>72.2</v>
      </c>
      <c r="H6">
        <f t="shared" si="3"/>
        <v>72.800000000000011</v>
      </c>
    </row>
    <row r="7" spans="1:8">
      <c r="A7" s="4" t="s">
        <v>62</v>
      </c>
      <c r="B7" s="4">
        <v>44</v>
      </c>
      <c r="D7">
        <v>85</v>
      </c>
      <c r="E7">
        <f t="shared" si="0"/>
        <v>51</v>
      </c>
      <c r="F7">
        <f t="shared" si="1"/>
        <v>74</v>
      </c>
      <c r="G7">
        <f t="shared" si="2"/>
        <v>74</v>
      </c>
      <c r="H7">
        <f t="shared" si="3"/>
        <v>74</v>
      </c>
    </row>
    <row r="8" spans="1:8">
      <c r="A8" s="4" t="s">
        <v>63</v>
      </c>
      <c r="B8" s="4">
        <v>64</v>
      </c>
      <c r="D8">
        <v>90</v>
      </c>
      <c r="E8">
        <f t="shared" si="0"/>
        <v>54</v>
      </c>
      <c r="F8">
        <f t="shared" si="1"/>
        <v>75.5</v>
      </c>
      <c r="G8">
        <f t="shared" si="2"/>
        <v>75.099999999999994</v>
      </c>
      <c r="H8">
        <f t="shared" si="3"/>
        <v>75.900000000000006</v>
      </c>
    </row>
    <row r="9" spans="1:8">
      <c r="A9" s="4" t="s">
        <v>64</v>
      </c>
      <c r="B9" s="4">
        <v>58</v>
      </c>
      <c r="D9">
        <v>95</v>
      </c>
      <c r="E9">
        <f t="shared" si="0"/>
        <v>57</v>
      </c>
      <c r="F9">
        <f t="shared" si="1"/>
        <v>78.5</v>
      </c>
      <c r="G9">
        <f t="shared" si="2"/>
        <v>78.05</v>
      </c>
      <c r="H9">
        <f t="shared" si="3"/>
        <v>78.949999999999989</v>
      </c>
    </row>
    <row r="10" spans="1:8">
      <c r="A10" s="4" t="s">
        <v>65</v>
      </c>
      <c r="B10" s="4">
        <v>62</v>
      </c>
    </row>
    <row r="11" spans="1:8">
      <c r="A11" s="4" t="s">
        <v>66</v>
      </c>
      <c r="B11" s="4">
        <v>50</v>
      </c>
    </row>
    <row r="12" spans="1:8">
      <c r="A12" s="4" t="s">
        <v>67</v>
      </c>
      <c r="B12" s="4">
        <v>74</v>
      </c>
      <c r="H12" s="9" t="s">
        <v>220</v>
      </c>
    </row>
    <row r="13" spans="1:8">
      <c r="A13" s="4" t="s">
        <v>68</v>
      </c>
      <c r="B13" s="4">
        <v>73</v>
      </c>
      <c r="H13" s="9">
        <f>_xlfn.PERCENTRANK.INC(B2:B61, 75)</f>
        <v>0.89800000000000002</v>
      </c>
    </row>
    <row r="14" spans="1:8">
      <c r="A14" s="4" t="s">
        <v>69</v>
      </c>
      <c r="B14" s="4">
        <v>63</v>
      </c>
    </row>
    <row r="15" spans="1:8">
      <c r="A15" s="4" t="s">
        <v>70</v>
      </c>
      <c r="B15" s="4">
        <v>78</v>
      </c>
    </row>
    <row r="16" spans="1:8">
      <c r="A16" s="4" t="s">
        <v>71</v>
      </c>
      <c r="B16" s="4">
        <v>69</v>
      </c>
    </row>
    <row r="17" spans="1:2">
      <c r="A17" s="4" t="s">
        <v>72</v>
      </c>
      <c r="B17" s="4">
        <v>50</v>
      </c>
    </row>
    <row r="18" spans="1:2">
      <c r="A18" s="4" t="s">
        <v>73</v>
      </c>
      <c r="B18" s="4">
        <v>67</v>
      </c>
    </row>
    <row r="19" spans="1:2">
      <c r="A19" s="4" t="s">
        <v>74</v>
      </c>
      <c r="B19" s="4">
        <v>49</v>
      </c>
    </row>
    <row r="20" spans="1:2">
      <c r="A20" s="4" t="s">
        <v>75</v>
      </c>
      <c r="B20" s="4">
        <v>74</v>
      </c>
    </row>
    <row r="21" spans="1:2">
      <c r="A21" s="4" t="s">
        <v>76</v>
      </c>
      <c r="B21" s="4">
        <v>61</v>
      </c>
    </row>
    <row r="22" spans="1:2">
      <c r="A22" s="4" t="s">
        <v>77</v>
      </c>
      <c r="B22" s="4">
        <v>59</v>
      </c>
    </row>
    <row r="23" spans="1:2">
      <c r="A23" s="4" t="s">
        <v>78</v>
      </c>
      <c r="B23" s="4">
        <v>52</v>
      </c>
    </row>
    <row r="24" spans="1:2">
      <c r="A24" s="4" t="s">
        <v>79</v>
      </c>
      <c r="B24" s="4">
        <v>79</v>
      </c>
    </row>
    <row r="25" spans="1:2">
      <c r="A25" s="4" t="s">
        <v>80</v>
      </c>
      <c r="B25" s="4">
        <v>60</v>
      </c>
    </row>
    <row r="26" spans="1:2">
      <c r="A26" s="4" t="s">
        <v>81</v>
      </c>
      <c r="B26" s="4">
        <v>56</v>
      </c>
    </row>
    <row r="27" spans="1:2">
      <c r="A27" s="4" t="s">
        <v>82</v>
      </c>
      <c r="B27" s="4">
        <v>57</v>
      </c>
    </row>
    <row r="28" spans="1:2">
      <c r="A28" s="4" t="s">
        <v>83</v>
      </c>
      <c r="B28" s="4">
        <v>69</v>
      </c>
    </row>
    <row r="29" spans="1:2">
      <c r="A29" s="4" t="s">
        <v>84</v>
      </c>
      <c r="B29" s="4">
        <v>67</v>
      </c>
    </row>
    <row r="30" spans="1:2">
      <c r="A30" s="4" t="s">
        <v>85</v>
      </c>
      <c r="B30" s="4">
        <v>68</v>
      </c>
    </row>
    <row r="31" spans="1:2">
      <c r="A31" s="4" t="s">
        <v>86</v>
      </c>
      <c r="B31" s="4">
        <v>68</v>
      </c>
    </row>
    <row r="32" spans="1:2">
      <c r="A32" s="4" t="s">
        <v>87</v>
      </c>
      <c r="B32" s="4">
        <v>92</v>
      </c>
    </row>
    <row r="33" spans="1:2">
      <c r="A33" s="4" t="s">
        <v>88</v>
      </c>
      <c r="B33" s="4">
        <v>56</v>
      </c>
    </row>
    <row r="34" spans="1:2">
      <c r="A34" s="4" t="s">
        <v>89</v>
      </c>
      <c r="B34" s="4">
        <v>55</v>
      </c>
    </row>
    <row r="35" spans="1:2">
      <c r="A35" s="4" t="s">
        <v>90</v>
      </c>
      <c r="B35" s="4">
        <v>51</v>
      </c>
    </row>
    <row r="36" spans="1:2">
      <c r="A36" s="4" t="s">
        <v>91</v>
      </c>
      <c r="B36" s="4">
        <v>71</v>
      </c>
    </row>
    <row r="37" spans="1:2">
      <c r="A37" s="4" t="s">
        <v>92</v>
      </c>
      <c r="B37" s="4">
        <v>78</v>
      </c>
    </row>
    <row r="38" spans="1:2">
      <c r="A38" s="4" t="s">
        <v>93</v>
      </c>
      <c r="B38" s="4">
        <v>60</v>
      </c>
    </row>
    <row r="39" spans="1:2">
      <c r="A39" s="4" t="s">
        <v>94</v>
      </c>
      <c r="B39" s="4">
        <v>50</v>
      </c>
    </row>
    <row r="40" spans="1:2">
      <c r="A40" s="4" t="s">
        <v>95</v>
      </c>
      <c r="B40" s="4">
        <v>50</v>
      </c>
    </row>
    <row r="41" spans="1:2">
      <c r="A41" s="4" t="s">
        <v>96</v>
      </c>
      <c r="B41" s="4">
        <v>71</v>
      </c>
    </row>
    <row r="42" spans="1:2">
      <c r="A42" s="4" t="s">
        <v>97</v>
      </c>
      <c r="B42" s="4">
        <v>72</v>
      </c>
    </row>
    <row r="43" spans="1:2">
      <c r="A43" s="4" t="s">
        <v>98</v>
      </c>
      <c r="B43" s="4">
        <v>70</v>
      </c>
    </row>
    <row r="44" spans="1:2">
      <c r="A44" s="4" t="s">
        <v>99</v>
      </c>
      <c r="B44" s="4">
        <v>53</v>
      </c>
    </row>
    <row r="45" spans="1:2">
      <c r="A45" s="4" t="s">
        <v>100</v>
      </c>
      <c r="B45" s="4">
        <v>65</v>
      </c>
    </row>
    <row r="46" spans="1:2">
      <c r="A46" s="4" t="s">
        <v>101</v>
      </c>
      <c r="B46" s="4">
        <v>64</v>
      </c>
    </row>
    <row r="47" spans="1:2">
      <c r="A47" s="4" t="s">
        <v>102</v>
      </c>
      <c r="B47" s="4">
        <v>65</v>
      </c>
    </row>
    <row r="48" spans="1:2">
      <c r="A48" s="4" t="s">
        <v>103</v>
      </c>
      <c r="B48" s="4">
        <v>74</v>
      </c>
    </row>
    <row r="49" spans="1:2">
      <c r="A49" s="4" t="s">
        <v>104</v>
      </c>
      <c r="B49" s="4">
        <v>65</v>
      </c>
    </row>
    <row r="50" spans="1:2">
      <c r="A50" s="4" t="s">
        <v>105</v>
      </c>
      <c r="B50" s="4">
        <v>72</v>
      </c>
    </row>
    <row r="51" spans="1:2">
      <c r="A51" s="4" t="s">
        <v>106</v>
      </c>
      <c r="B51" s="4">
        <v>63</v>
      </c>
    </row>
    <row r="52" spans="1:2">
      <c r="A52" s="4" t="s">
        <v>107</v>
      </c>
      <c r="B52" s="4">
        <v>66</v>
      </c>
    </row>
    <row r="53" spans="1:2">
      <c r="A53" s="4" t="s">
        <v>108</v>
      </c>
      <c r="B53" s="4">
        <v>71</v>
      </c>
    </row>
    <row r="54" spans="1:2">
      <c r="A54" s="4" t="s">
        <v>109</v>
      </c>
      <c r="B54" s="4">
        <v>42</v>
      </c>
    </row>
    <row r="55" spans="1:2">
      <c r="A55" s="4" t="s">
        <v>110</v>
      </c>
      <c r="B55" s="4">
        <v>58</v>
      </c>
    </row>
    <row r="56" spans="1:2">
      <c r="A56" s="4" t="s">
        <v>111</v>
      </c>
      <c r="B56" s="4">
        <v>55</v>
      </c>
    </row>
    <row r="57" spans="1:2">
      <c r="A57" s="4" t="s">
        <v>112</v>
      </c>
      <c r="B57" s="4">
        <v>53</v>
      </c>
    </row>
    <row r="58" spans="1:2">
      <c r="A58" s="4" t="s">
        <v>113</v>
      </c>
      <c r="B58" s="4">
        <v>58</v>
      </c>
    </row>
    <row r="59" spans="1:2">
      <c r="A59" s="4" t="s">
        <v>114</v>
      </c>
      <c r="B59" s="4">
        <v>83</v>
      </c>
    </row>
    <row r="60" spans="1:2">
      <c r="A60" s="4" t="s">
        <v>115</v>
      </c>
      <c r="B60" s="4">
        <v>50</v>
      </c>
    </row>
    <row r="61" spans="1:2">
      <c r="A61" s="4" t="s">
        <v>116</v>
      </c>
      <c r="B61" s="4">
        <v>76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5"/>
  <sheetViews>
    <sheetView workbookViewId="0">
      <selection activeCell="O15" sqref="O15"/>
    </sheetView>
  </sheetViews>
  <sheetFormatPr baseColWidth="10" defaultColWidth="8.83203125" defaultRowHeight="15"/>
  <cols>
    <col min="1" max="1" width="8" customWidth="1"/>
    <col min="2" max="3" width="12" customWidth="1"/>
    <col min="5" max="5" width="6" customWidth="1"/>
    <col min="6" max="7" width="12" customWidth="1"/>
    <col min="9" max="9" width="15.6640625" customWidth="1"/>
    <col min="15" max="15" width="9.6640625" customWidth="1"/>
    <col min="16" max="16" width="11.83203125" bestFit="1" customWidth="1"/>
  </cols>
  <sheetData>
    <row r="1" spans="1:16" ht="31">
      <c r="A1" s="3" t="s">
        <v>117</v>
      </c>
      <c r="B1" s="3" t="s">
        <v>118</v>
      </c>
      <c r="C1" s="3" t="s">
        <v>119</v>
      </c>
      <c r="E1" s="3" t="s">
        <v>120</v>
      </c>
      <c r="F1" s="3" t="s">
        <v>121</v>
      </c>
      <c r="G1" s="3" t="s">
        <v>122</v>
      </c>
      <c r="J1" s="3" t="s">
        <v>233</v>
      </c>
      <c r="K1" s="10" t="s">
        <v>234</v>
      </c>
      <c r="L1" s="10" t="s">
        <v>235</v>
      </c>
      <c r="M1" s="10" t="s">
        <v>236</v>
      </c>
      <c r="O1" s="3" t="s">
        <v>221</v>
      </c>
      <c r="P1" s="3" t="s">
        <v>222</v>
      </c>
    </row>
    <row r="2" spans="1:16">
      <c r="A2" s="4">
        <v>1</v>
      </c>
      <c r="B2" s="4">
        <v>496.6</v>
      </c>
      <c r="C2" s="4">
        <v>494.5</v>
      </c>
      <c r="E2" s="4">
        <v>1</v>
      </c>
      <c r="F2" s="4">
        <v>432</v>
      </c>
      <c r="G2" s="4">
        <v>20</v>
      </c>
      <c r="I2" t="s">
        <v>223</v>
      </c>
      <c r="J2">
        <f>AVERAGE(B$2:B$13)</f>
        <v>499.59999999999997</v>
      </c>
      <c r="K2">
        <f>AVERAGE(C$2:C$13)</f>
        <v>499.75</v>
      </c>
      <c r="L2">
        <f>AVERAGE(F$2:F$15)</f>
        <v>463.85714285714283</v>
      </c>
      <c r="M2">
        <f>AVERAGE(G$2:G$15)</f>
        <v>17.142857142857142</v>
      </c>
      <c r="O2">
        <f>B2-AVERAGE($B$2:$B$13)</f>
        <v>-2.9999999999999432</v>
      </c>
      <c r="P2">
        <f>O2^2</f>
        <v>8.9999999999996589</v>
      </c>
    </row>
    <row r="3" spans="1:16">
      <c r="A3" s="4">
        <v>2</v>
      </c>
      <c r="B3" s="4">
        <v>499.3</v>
      </c>
      <c r="C3" s="4">
        <v>503</v>
      </c>
      <c r="E3" s="4">
        <v>2</v>
      </c>
      <c r="F3" s="4">
        <v>499</v>
      </c>
      <c r="G3" s="4">
        <v>13</v>
      </c>
      <c r="I3" t="s">
        <v>224</v>
      </c>
      <c r="J3">
        <f>MAX(B$2:B$13)-MIN(B$2:B$13)</f>
        <v>5.0999999999999659</v>
      </c>
      <c r="K3">
        <f>MAX(C$2:C$13)-MIN(C$2:C$13)</f>
        <v>9.6000000000000227</v>
      </c>
      <c r="L3">
        <f>MAX(F$2:F$15)-MIN(F$2:F$15)</f>
        <v>94</v>
      </c>
      <c r="M3">
        <f>MAX(G$2:G$15)-MIN(G$2:G$15)</f>
        <v>15</v>
      </c>
      <c r="O3">
        <f t="shared" ref="O3:O13" si="0">B3-AVERAGE($B$2:$B$13)</f>
        <v>-0.29999999999995453</v>
      </c>
      <c r="P3">
        <f t="shared" ref="P3:P13" si="1">O3^2</f>
        <v>8.9999999999972713E-2</v>
      </c>
    </row>
    <row r="4" spans="1:16">
      <c r="A4" s="4">
        <v>3</v>
      </c>
      <c r="B4" s="4">
        <v>500.3</v>
      </c>
      <c r="C4" s="4">
        <v>500.9</v>
      </c>
      <c r="E4" s="4">
        <v>3</v>
      </c>
      <c r="F4" s="4">
        <v>461</v>
      </c>
      <c r="G4" s="4">
        <v>16</v>
      </c>
      <c r="I4" t="s">
        <v>225</v>
      </c>
      <c r="J4">
        <f>_xlfn.QUARTILE.INC(B$2:B$13,1)</f>
        <v>498.75</v>
      </c>
      <c r="K4">
        <f>_xlfn.QUARTILE.INC(C$2:C$13,1)</f>
        <v>497.625</v>
      </c>
      <c r="L4">
        <f>_xlfn.QUARTILE.INC(F$2:F$15,1)</f>
        <v>434</v>
      </c>
      <c r="M4">
        <f>_xlfn.QUARTILE.INC(G$2:G$15,1)</f>
        <v>13.75</v>
      </c>
      <c r="O4">
        <f t="shared" si="0"/>
        <v>0.70000000000004547</v>
      </c>
      <c r="P4">
        <f t="shared" si="1"/>
        <v>0.49000000000006366</v>
      </c>
    </row>
    <row r="5" spans="1:16">
      <c r="A5" s="4">
        <v>4</v>
      </c>
      <c r="B5" s="4">
        <v>501.2</v>
      </c>
      <c r="C5" s="4">
        <v>504.1</v>
      </c>
      <c r="E5" s="4">
        <v>4</v>
      </c>
      <c r="F5" s="4">
        <v>480</v>
      </c>
      <c r="G5" s="4">
        <v>24</v>
      </c>
      <c r="I5" t="s">
        <v>226</v>
      </c>
      <c r="J5">
        <f>_xlfn.QUARTILE.INC(B$2:B$13,3)</f>
        <v>501.25</v>
      </c>
      <c r="K5">
        <f>_xlfn.QUARTILE.INC(C$2:C$13,3)</f>
        <v>502.77499999999998</v>
      </c>
      <c r="L5">
        <f>_xlfn.QUARTILE.INC(F$2:F$15,3)</f>
        <v>493.5</v>
      </c>
      <c r="M5">
        <f>_xlfn.QUARTILE.INC(G$2:G$15,3)</f>
        <v>20</v>
      </c>
      <c r="O5">
        <f t="shared" si="0"/>
        <v>1.6000000000000227</v>
      </c>
      <c r="P5">
        <f t="shared" si="1"/>
        <v>2.5600000000000729</v>
      </c>
    </row>
    <row r="6" spans="1:16">
      <c r="A6" s="4">
        <v>5</v>
      </c>
      <c r="B6" s="4">
        <v>501.4</v>
      </c>
      <c r="C6" s="4">
        <v>497.4</v>
      </c>
      <c r="E6" s="4">
        <v>5</v>
      </c>
      <c r="F6" s="4">
        <v>499</v>
      </c>
      <c r="G6" s="4">
        <v>16</v>
      </c>
      <c r="I6" t="s">
        <v>227</v>
      </c>
      <c r="J6">
        <f>J5-J4</f>
        <v>2.5</v>
      </c>
      <c r="K6">
        <f>K5-K4</f>
        <v>5.1499999999999773</v>
      </c>
      <c r="L6">
        <f>L5-L4</f>
        <v>59.5</v>
      </c>
      <c r="M6">
        <f>M5-M4</f>
        <v>6.25</v>
      </c>
      <c r="O6">
        <f t="shared" si="0"/>
        <v>1.8000000000000114</v>
      </c>
      <c r="P6">
        <f t="shared" si="1"/>
        <v>3.2400000000000411</v>
      </c>
    </row>
    <row r="7" spans="1:16">
      <c r="A7" s="4">
        <v>6</v>
      </c>
      <c r="B7" s="4">
        <v>501.6</v>
      </c>
      <c r="C7" s="4">
        <v>501</v>
      </c>
      <c r="E7" s="4">
        <v>6</v>
      </c>
      <c r="F7" s="4">
        <v>498</v>
      </c>
      <c r="G7" s="4">
        <v>22</v>
      </c>
      <c r="I7" t="s">
        <v>228</v>
      </c>
      <c r="J7">
        <f>_xlfn.VAR.S(B$2:B$13)</f>
        <v>2.9618181818181739</v>
      </c>
      <c r="K7">
        <f>_xlfn.VAR.S(C$2:C$13)</f>
        <v>10.486363636363654</v>
      </c>
      <c r="L7">
        <f>_xlfn.VAR.S(F$2:F$15)</f>
        <v>1028.2857142857142</v>
      </c>
      <c r="M7">
        <f>_xlfn.VAR.S(G$2:G$15)</f>
        <v>18.131868131868103</v>
      </c>
      <c r="O7">
        <f t="shared" si="0"/>
        <v>2.0000000000000568</v>
      </c>
      <c r="P7">
        <f t="shared" si="1"/>
        <v>4.0000000000002274</v>
      </c>
    </row>
    <row r="8" spans="1:16">
      <c r="A8" s="4">
        <v>7</v>
      </c>
      <c r="B8" s="4">
        <v>499.3</v>
      </c>
      <c r="C8" s="4">
        <v>503.8</v>
      </c>
      <c r="E8" s="4">
        <v>7</v>
      </c>
      <c r="F8" s="4">
        <v>507</v>
      </c>
      <c r="G8" s="4">
        <v>13</v>
      </c>
      <c r="I8" t="s">
        <v>229</v>
      </c>
      <c r="J8">
        <f>_xlfn.STDEV.S(B$2:B$13)</f>
        <v>1.7209933706491067</v>
      </c>
      <c r="K8">
        <f>_xlfn.STDEV.S(C$2:C$13)</f>
        <v>3.2382655290083386</v>
      </c>
      <c r="L8">
        <f>_xlfn.STDEV.S(F$2:F$15)</f>
        <v>32.06689436608594</v>
      </c>
      <c r="M8">
        <f>_xlfn.STDEV.S(G$2:G$15)</f>
        <v>4.2581531362631972</v>
      </c>
      <c r="O8">
        <f t="shared" si="0"/>
        <v>-0.29999999999995453</v>
      </c>
      <c r="P8">
        <f t="shared" si="1"/>
        <v>8.9999999999972713E-2</v>
      </c>
    </row>
    <row r="9" spans="1:16">
      <c r="A9" s="4">
        <v>8</v>
      </c>
      <c r="B9" s="4">
        <v>499.1</v>
      </c>
      <c r="C9" s="4">
        <v>498.1</v>
      </c>
      <c r="E9" s="4">
        <v>8</v>
      </c>
      <c r="F9" s="4">
        <v>476</v>
      </c>
      <c r="G9" s="4">
        <v>17</v>
      </c>
      <c r="I9" t="s">
        <v>230</v>
      </c>
      <c r="J9">
        <f>_xlfn.VAR.P(B$2:B$13)</f>
        <v>2.7149999999999928</v>
      </c>
      <c r="K9">
        <f>_xlfn.VAR.P(C$2:C$13)</f>
        <v>9.6125000000000167</v>
      </c>
      <c r="L9">
        <f>_xlfn.VAR.P(F$2:F$15)</f>
        <v>954.83673469387747</v>
      </c>
      <c r="M9">
        <f>_xlfn.VAR.P(G$2:G$15)</f>
        <v>16.836734693877553</v>
      </c>
      <c r="O9">
        <f t="shared" si="0"/>
        <v>-0.49999999999994316</v>
      </c>
      <c r="P9">
        <f t="shared" si="1"/>
        <v>0.24999999999994316</v>
      </c>
    </row>
    <row r="10" spans="1:16">
      <c r="A10" s="4">
        <v>9</v>
      </c>
      <c r="B10" s="4">
        <v>501.7</v>
      </c>
      <c r="C10" s="4">
        <v>502.7</v>
      </c>
      <c r="E10" s="4">
        <v>9</v>
      </c>
      <c r="F10" s="4">
        <v>463</v>
      </c>
      <c r="G10" s="4">
        <v>13</v>
      </c>
      <c r="I10" t="s">
        <v>231</v>
      </c>
      <c r="J10">
        <f>_xlfn.STDEV.P(B$2:B$13)</f>
        <v>1.647725705328406</v>
      </c>
      <c r="K10">
        <f>_xlfn.STDEV.P(C$2:C$13)</f>
        <v>3.1004031995855019</v>
      </c>
      <c r="L10">
        <f>_xlfn.STDEV.P(F$2:F$13)</f>
        <v>30.458874824188033</v>
      </c>
      <c r="M10">
        <f>_xlfn.STDEV.P(G$2:G$13)</f>
        <v>4.3035837778917854</v>
      </c>
      <c r="O10">
        <f t="shared" si="0"/>
        <v>2.1000000000000227</v>
      </c>
      <c r="P10">
        <f t="shared" si="1"/>
        <v>4.4100000000000952</v>
      </c>
    </row>
    <row r="11" spans="1:16">
      <c r="A11" s="4">
        <v>10</v>
      </c>
      <c r="B11" s="4">
        <v>499.6</v>
      </c>
      <c r="C11" s="4">
        <v>496</v>
      </c>
      <c r="E11" s="4">
        <v>10</v>
      </c>
      <c r="F11" s="4">
        <v>477</v>
      </c>
      <c r="G11" s="4">
        <v>16</v>
      </c>
      <c r="I11" t="s">
        <v>232</v>
      </c>
      <c r="J11">
        <f>J8/J2*100</f>
        <v>0.34447425353264749</v>
      </c>
      <c r="K11">
        <f>K8/K2*100</f>
        <v>0.6479770943488421</v>
      </c>
      <c r="L11">
        <f>L8/L2*100</f>
        <v>6.9130970299538514</v>
      </c>
      <c r="M11">
        <f>M8/M2*100</f>
        <v>24.839226628201985</v>
      </c>
      <c r="O11">
        <f t="shared" si="0"/>
        <v>0</v>
      </c>
      <c r="P11">
        <f t="shared" si="1"/>
        <v>0</v>
      </c>
    </row>
    <row r="12" spans="1:16">
      <c r="A12" s="4">
        <v>11</v>
      </c>
      <c r="B12" s="4">
        <v>497.4</v>
      </c>
      <c r="C12" s="4">
        <v>497.8</v>
      </c>
      <c r="E12" s="4">
        <v>11</v>
      </c>
      <c r="F12" s="4">
        <v>413</v>
      </c>
      <c r="G12" s="4">
        <v>22</v>
      </c>
      <c r="O12">
        <f t="shared" si="0"/>
        <v>-2.1999999999999886</v>
      </c>
      <c r="P12">
        <f t="shared" si="1"/>
        <v>4.8399999999999501</v>
      </c>
    </row>
    <row r="13" spans="1:16">
      <c r="A13" s="4">
        <v>12</v>
      </c>
      <c r="B13" s="4">
        <v>497.7</v>
      </c>
      <c r="C13" s="4">
        <v>497.7</v>
      </c>
      <c r="E13" s="4">
        <v>12</v>
      </c>
      <c r="F13" s="4">
        <v>422</v>
      </c>
      <c r="G13" s="4">
        <v>9</v>
      </c>
      <c r="O13">
        <f t="shared" si="0"/>
        <v>-1.8999999999999773</v>
      </c>
      <c r="P13">
        <f t="shared" si="1"/>
        <v>3.6099999999999137</v>
      </c>
    </row>
    <row r="14" spans="1:16">
      <c r="E14" s="4">
        <v>13</v>
      </c>
      <c r="F14" s="4">
        <v>427</v>
      </c>
      <c r="G14" s="4">
        <v>20</v>
      </c>
      <c r="O14">
        <f ca="1">SUM(O2:O14)</f>
        <v>0</v>
      </c>
      <c r="P14">
        <f>SUM(P2:P13)</f>
        <v>32.579999999999913</v>
      </c>
    </row>
    <row r="15" spans="1:16">
      <c r="E15" s="4">
        <v>14</v>
      </c>
      <c r="F15" s="4">
        <v>440</v>
      </c>
      <c r="G15" s="4">
        <v>19</v>
      </c>
      <c r="P15">
        <f>P14/(COUNT(B2:B13)-1)</f>
        <v>2.9618181818181739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1"/>
  <sheetViews>
    <sheetView zoomScale="108" workbookViewId="0">
      <selection activeCell="L23" sqref="L23"/>
    </sheetView>
  </sheetViews>
  <sheetFormatPr baseColWidth="10" defaultColWidth="8.83203125" defaultRowHeight="15"/>
  <cols>
    <col min="1" max="1" width="11" customWidth="1"/>
    <col min="2" max="2" width="12" customWidth="1"/>
    <col min="4" max="4" width="9" customWidth="1"/>
    <col min="5" max="5" width="11" customWidth="1"/>
    <col min="7" max="7" width="14.83203125" customWidth="1"/>
    <col min="8" max="8" width="19.6640625" customWidth="1"/>
    <col min="9" max="9" width="19.1640625" customWidth="1"/>
    <col min="10" max="10" width="29.6640625" customWidth="1"/>
    <col min="11" max="11" width="12.83203125" customWidth="1"/>
  </cols>
  <sheetData>
    <row r="1" spans="1:10" ht="46">
      <c r="A1" s="3" t="s">
        <v>123</v>
      </c>
      <c r="B1" s="3" t="s">
        <v>124</v>
      </c>
      <c r="C1" s="3" t="s">
        <v>7</v>
      </c>
      <c r="D1" s="3" t="s">
        <v>55</v>
      </c>
      <c r="E1" s="3" t="s">
        <v>125</v>
      </c>
      <c r="G1" s="11" t="s">
        <v>240</v>
      </c>
      <c r="H1" s="11" t="s">
        <v>242</v>
      </c>
      <c r="I1" s="11" t="s">
        <v>243</v>
      </c>
      <c r="J1" s="11" t="s">
        <v>241</v>
      </c>
    </row>
    <row r="2" spans="1:10" ht="19">
      <c r="A2" s="4">
        <v>1</v>
      </c>
      <c r="B2" s="4">
        <v>-0.3</v>
      </c>
      <c r="C2" s="4">
        <v>70</v>
      </c>
      <c r="D2" s="4">
        <v>1</v>
      </c>
      <c r="E2" s="4">
        <v>164</v>
      </c>
      <c r="G2" s="11" t="s">
        <v>223</v>
      </c>
      <c r="H2" s="13">
        <f>AVERAGE(B2:B121)</f>
        <v>-6.3000000000000014E-2</v>
      </c>
      <c r="I2" s="13">
        <f>AVERAGE(E2:E101)</f>
        <v>165.33</v>
      </c>
      <c r="J2" s="13">
        <f>AVERAGE('P1 Salaries'!B2:B26)</f>
        <v>74.400000000000006</v>
      </c>
    </row>
    <row r="3" spans="1:10" ht="19">
      <c r="A3" s="4">
        <v>2</v>
      </c>
      <c r="B3" s="4">
        <v>-0.89</v>
      </c>
      <c r="C3" s="4">
        <v>60</v>
      </c>
      <c r="D3" s="4">
        <v>2</v>
      </c>
      <c r="E3" s="4">
        <v>157</v>
      </c>
      <c r="G3" s="11" t="s">
        <v>212</v>
      </c>
      <c r="H3" s="13">
        <f>MEDIAN(B2:B121)</f>
        <v>0.01</v>
      </c>
      <c r="I3" s="13">
        <f>MEDIAN(E2:E101)</f>
        <v>165</v>
      </c>
      <c r="J3" s="13">
        <f>MEDIAN('P1 Salaries'!B2:B26)</f>
        <v>60</v>
      </c>
    </row>
    <row r="4" spans="1:10" ht="19">
      <c r="A4" s="4">
        <v>3</v>
      </c>
      <c r="B4" s="4">
        <v>-2.5</v>
      </c>
      <c r="C4" s="4">
        <v>55</v>
      </c>
      <c r="D4" s="4">
        <v>3</v>
      </c>
      <c r="E4" s="4">
        <v>161</v>
      </c>
      <c r="G4" s="11" t="s">
        <v>237</v>
      </c>
      <c r="H4" s="13">
        <f>SKEW(B2:B121)</f>
        <v>-1.8621112567549982</v>
      </c>
      <c r="I4" s="13">
        <f>SKEW(E2:E101)</f>
        <v>0.20799618608911552</v>
      </c>
      <c r="J4" s="13">
        <f>SKEW('P1 Salaries'!B2:B26)</f>
        <v>2.7499657411271947</v>
      </c>
    </row>
    <row r="5" spans="1:10" ht="19">
      <c r="A5" s="4">
        <v>4</v>
      </c>
      <c r="B5" s="4">
        <v>-0.25</v>
      </c>
      <c r="C5" s="4">
        <v>80</v>
      </c>
      <c r="D5" s="4">
        <v>4</v>
      </c>
      <c r="E5" s="4">
        <v>158</v>
      </c>
      <c r="G5" s="11" t="s">
        <v>239</v>
      </c>
      <c r="H5" s="13">
        <f>KURT(B2:B121)</f>
        <v>7.1605656832830498</v>
      </c>
      <c r="I5" s="13">
        <f>KURT(E2:E101)</f>
        <v>-5.9242993847756775E-2</v>
      </c>
      <c r="J5" s="13">
        <f>KURT('P1 Salaries'!B2:B26)</f>
        <v>8.1646256100513241</v>
      </c>
    </row>
    <row r="6" spans="1:10" ht="19">
      <c r="A6" s="4">
        <v>5</v>
      </c>
      <c r="B6" s="4">
        <v>0.28000000000000003</v>
      </c>
      <c r="C6" s="4">
        <v>75</v>
      </c>
      <c r="D6" s="4">
        <v>5</v>
      </c>
      <c r="E6" s="4">
        <v>164</v>
      </c>
      <c r="G6" s="11" t="s">
        <v>238</v>
      </c>
      <c r="H6" s="13">
        <f>KURT(B2:B121)+3</f>
        <v>10.16056568328305</v>
      </c>
      <c r="I6" s="13">
        <f>KURT(E2:E101)+3</f>
        <v>2.9407570061522432</v>
      </c>
      <c r="J6" s="13">
        <f>KURT('P1 Salaries'!B2:B26)+3</f>
        <v>11.164625610051324</v>
      </c>
    </row>
    <row r="7" spans="1:10" ht="19">
      <c r="A7" s="4">
        <v>6</v>
      </c>
      <c r="B7" s="4">
        <v>0.14000000000000001</v>
      </c>
      <c r="C7" s="4">
        <v>48</v>
      </c>
      <c r="D7" s="4">
        <v>6</v>
      </c>
      <c r="E7" s="4">
        <v>151</v>
      </c>
      <c r="G7" s="12"/>
      <c r="H7" s="12"/>
      <c r="I7" s="12"/>
      <c r="J7" s="13"/>
    </row>
    <row r="8" spans="1:10" ht="19">
      <c r="A8" s="4">
        <v>7</v>
      </c>
      <c r="B8" s="4">
        <v>1.24</v>
      </c>
      <c r="C8" s="4">
        <v>45</v>
      </c>
      <c r="D8" s="4">
        <v>7</v>
      </c>
      <c r="E8" s="4">
        <v>153</v>
      </c>
      <c r="G8" s="12"/>
      <c r="H8" s="12"/>
      <c r="I8" s="12"/>
      <c r="J8" s="13"/>
    </row>
    <row r="9" spans="1:10" ht="19">
      <c r="A9" s="4">
        <v>8</v>
      </c>
      <c r="B9" s="4">
        <v>-0.05</v>
      </c>
      <c r="C9" s="4">
        <v>55</v>
      </c>
      <c r="D9" s="4">
        <v>8</v>
      </c>
      <c r="E9" s="4">
        <v>182</v>
      </c>
      <c r="G9" s="12"/>
      <c r="H9" s="12"/>
      <c r="I9" s="12"/>
      <c r="J9" s="13"/>
    </row>
    <row r="10" spans="1:10" ht="19">
      <c r="A10" s="4">
        <v>9</v>
      </c>
      <c r="B10" s="4">
        <v>-0.6</v>
      </c>
      <c r="C10" s="4">
        <v>68</v>
      </c>
      <c r="D10" s="4">
        <v>9</v>
      </c>
      <c r="E10" s="4">
        <v>155</v>
      </c>
      <c r="G10" s="12"/>
      <c r="H10" s="12"/>
      <c r="I10" s="12"/>
      <c r="J10" s="13"/>
    </row>
    <row r="11" spans="1:10" ht="19">
      <c r="A11" s="4">
        <v>10</v>
      </c>
      <c r="B11" s="4">
        <v>0.25</v>
      </c>
      <c r="C11" s="4">
        <v>95</v>
      </c>
      <c r="D11" s="4">
        <v>10</v>
      </c>
      <c r="E11" s="4">
        <v>156</v>
      </c>
      <c r="G11" s="12"/>
      <c r="H11" s="12"/>
      <c r="I11" s="12"/>
      <c r="J11" s="13"/>
    </row>
    <row r="12" spans="1:10" ht="19">
      <c r="A12" s="4">
        <v>11</v>
      </c>
      <c r="B12" s="4">
        <v>0.27</v>
      </c>
      <c r="C12" s="4">
        <v>58</v>
      </c>
      <c r="D12" s="4">
        <v>11</v>
      </c>
      <c r="E12" s="4">
        <v>180</v>
      </c>
      <c r="G12" s="12"/>
      <c r="H12" s="12"/>
      <c r="I12" s="12"/>
      <c r="J12" s="13"/>
    </row>
    <row r="13" spans="1:10" ht="19">
      <c r="A13" s="4">
        <v>12</v>
      </c>
      <c r="B13" s="4">
        <v>1.07</v>
      </c>
      <c r="C13" s="4">
        <v>72</v>
      </c>
      <c r="D13" s="4">
        <v>12</v>
      </c>
      <c r="E13" s="4">
        <v>188</v>
      </c>
      <c r="G13" s="12"/>
      <c r="H13" s="12"/>
      <c r="I13" s="12"/>
      <c r="J13" s="13"/>
    </row>
    <row r="14" spans="1:10" ht="19">
      <c r="A14" s="4">
        <v>13</v>
      </c>
      <c r="B14" s="4">
        <v>-2.9</v>
      </c>
      <c r="C14" s="4">
        <v>42</v>
      </c>
      <c r="D14" s="4">
        <v>13</v>
      </c>
      <c r="E14" s="4">
        <v>156</v>
      </c>
      <c r="G14" s="12"/>
      <c r="H14" s="12"/>
      <c r="I14" s="12"/>
      <c r="J14" s="13"/>
    </row>
    <row r="15" spans="1:10" ht="19">
      <c r="A15" s="4">
        <v>14</v>
      </c>
      <c r="B15" s="4">
        <v>0.37</v>
      </c>
      <c r="C15" s="4">
        <v>65</v>
      </c>
      <c r="D15" s="4">
        <v>14</v>
      </c>
      <c r="E15" s="4">
        <v>162</v>
      </c>
      <c r="G15" s="12"/>
      <c r="H15" s="12"/>
      <c r="I15" s="12"/>
      <c r="J15" s="13"/>
    </row>
    <row r="16" spans="1:10" ht="19">
      <c r="A16" s="4">
        <v>15</v>
      </c>
      <c r="B16" s="4">
        <v>1.1399999999999999</v>
      </c>
      <c r="C16" s="4">
        <v>120</v>
      </c>
      <c r="D16" s="4">
        <v>15</v>
      </c>
      <c r="E16" s="4">
        <v>168</v>
      </c>
      <c r="G16" s="12"/>
      <c r="H16" s="12"/>
      <c r="I16" s="12"/>
      <c r="J16" s="13"/>
    </row>
    <row r="17" spans="1:5">
      <c r="A17" s="4">
        <v>16</v>
      </c>
      <c r="B17" s="4">
        <v>-0.71</v>
      </c>
      <c r="C17" s="4">
        <v>62</v>
      </c>
      <c r="D17" s="4">
        <v>16</v>
      </c>
      <c r="E17" s="4">
        <v>179</v>
      </c>
    </row>
    <row r="18" spans="1:5">
      <c r="A18" s="4">
        <v>17</v>
      </c>
      <c r="B18" s="4">
        <v>-0.33</v>
      </c>
      <c r="C18" s="4">
        <v>45</v>
      </c>
      <c r="D18" s="4">
        <v>17</v>
      </c>
      <c r="E18" s="4">
        <v>157</v>
      </c>
    </row>
    <row r="19" spans="1:5">
      <c r="A19" s="4">
        <v>18</v>
      </c>
      <c r="B19" s="4">
        <v>-0.53</v>
      </c>
      <c r="C19" s="4">
        <v>180</v>
      </c>
      <c r="D19" s="4">
        <v>18</v>
      </c>
      <c r="E19" s="4">
        <v>163</v>
      </c>
    </row>
    <row r="20" spans="1:5">
      <c r="A20" s="4">
        <v>19</v>
      </c>
      <c r="B20" s="4">
        <v>-0.15</v>
      </c>
      <c r="C20" s="4">
        <v>45</v>
      </c>
      <c r="D20" s="4">
        <v>19</v>
      </c>
      <c r="E20" s="4">
        <v>171</v>
      </c>
    </row>
    <row r="21" spans="1:5">
      <c r="A21" s="4">
        <v>20</v>
      </c>
      <c r="B21" s="4">
        <v>-0.84</v>
      </c>
      <c r="C21" s="4">
        <v>250</v>
      </c>
      <c r="D21" s="4">
        <v>20</v>
      </c>
      <c r="E21" s="4">
        <v>168</v>
      </c>
    </row>
    <row r="22" spans="1:5">
      <c r="A22" s="4">
        <v>21</v>
      </c>
      <c r="B22" s="4">
        <v>0.56000000000000005</v>
      </c>
      <c r="C22" s="4">
        <v>50</v>
      </c>
      <c r="D22" s="4">
        <v>21</v>
      </c>
      <c r="E22" s="4">
        <v>162</v>
      </c>
    </row>
    <row r="23" spans="1:5">
      <c r="A23" s="4">
        <v>22</v>
      </c>
      <c r="B23" s="4">
        <v>-0.04</v>
      </c>
      <c r="C23" s="4">
        <v>52</v>
      </c>
      <c r="D23" s="4">
        <v>22</v>
      </c>
      <c r="E23" s="4">
        <v>164</v>
      </c>
    </row>
    <row r="24" spans="1:5">
      <c r="A24" s="4">
        <v>23</v>
      </c>
      <c r="B24" s="4">
        <v>-0.91</v>
      </c>
      <c r="C24" s="4">
        <v>38</v>
      </c>
      <c r="D24" s="4">
        <v>23</v>
      </c>
      <c r="E24" s="4">
        <v>154</v>
      </c>
    </row>
    <row r="25" spans="1:5">
      <c r="A25" s="4">
        <v>24</v>
      </c>
      <c r="B25" s="4">
        <v>-0.59</v>
      </c>
      <c r="C25" s="4">
        <v>45</v>
      </c>
      <c r="D25" s="4">
        <v>24</v>
      </c>
      <c r="E25" s="4">
        <v>163</v>
      </c>
    </row>
    <row r="26" spans="1:5">
      <c r="A26" s="4">
        <v>25</v>
      </c>
      <c r="B26" s="4">
        <v>0.34</v>
      </c>
      <c r="C26" s="4">
        <v>85</v>
      </c>
      <c r="D26" s="4">
        <v>25</v>
      </c>
      <c r="E26" s="4">
        <v>163</v>
      </c>
    </row>
    <row r="27" spans="1:5">
      <c r="A27" s="4">
        <v>26</v>
      </c>
      <c r="B27" s="4">
        <v>0.71</v>
      </c>
      <c r="D27" s="4">
        <v>26</v>
      </c>
      <c r="E27" s="4">
        <v>167</v>
      </c>
    </row>
    <row r="28" spans="1:5">
      <c r="A28" s="4">
        <v>27</v>
      </c>
      <c r="B28" s="4">
        <v>1.52</v>
      </c>
      <c r="D28" s="4">
        <v>27</v>
      </c>
      <c r="E28" s="4">
        <v>161</v>
      </c>
    </row>
    <row r="29" spans="1:5">
      <c r="A29" s="4">
        <v>28</v>
      </c>
      <c r="B29" s="4">
        <v>2.16</v>
      </c>
      <c r="D29" s="4">
        <v>28</v>
      </c>
      <c r="E29" s="4">
        <v>169</v>
      </c>
    </row>
    <row r="30" spans="1:5">
      <c r="A30" s="4">
        <v>29</v>
      </c>
      <c r="B30" s="4">
        <v>0.41</v>
      </c>
      <c r="D30" s="4">
        <v>29</v>
      </c>
      <c r="E30" s="4">
        <v>173</v>
      </c>
    </row>
    <row r="31" spans="1:5">
      <c r="A31" s="4">
        <v>30</v>
      </c>
      <c r="B31" s="4">
        <v>-0.56999999999999995</v>
      </c>
      <c r="D31" s="4">
        <v>30</v>
      </c>
      <c r="E31" s="4">
        <v>166</v>
      </c>
    </row>
    <row r="32" spans="1:5">
      <c r="A32" s="4">
        <v>31</v>
      </c>
      <c r="B32" s="4">
        <v>-1.37</v>
      </c>
      <c r="D32" s="4">
        <v>31</v>
      </c>
      <c r="E32" s="4">
        <v>168</v>
      </c>
    </row>
    <row r="33" spans="1:5">
      <c r="A33" s="4">
        <v>32</v>
      </c>
      <c r="B33" s="4">
        <v>0.31</v>
      </c>
      <c r="D33" s="4">
        <v>32</v>
      </c>
      <c r="E33" s="4">
        <v>165</v>
      </c>
    </row>
    <row r="34" spans="1:5">
      <c r="A34" s="4">
        <v>33</v>
      </c>
      <c r="B34" s="4">
        <v>-0.45</v>
      </c>
      <c r="D34" s="4">
        <v>33</v>
      </c>
      <c r="E34" s="4">
        <v>165</v>
      </c>
    </row>
    <row r="35" spans="1:5">
      <c r="A35" s="4">
        <v>34</v>
      </c>
      <c r="B35" s="4">
        <v>-0.17</v>
      </c>
      <c r="D35" s="4">
        <v>34</v>
      </c>
      <c r="E35" s="4">
        <v>159</v>
      </c>
    </row>
    <row r="36" spans="1:5">
      <c r="A36" s="4">
        <v>35</v>
      </c>
      <c r="B36" s="4">
        <v>-5.0999999999999996</v>
      </c>
      <c r="D36" s="4">
        <v>35</v>
      </c>
      <c r="E36" s="4">
        <v>168</v>
      </c>
    </row>
    <row r="37" spans="1:5">
      <c r="A37" s="4">
        <v>36</v>
      </c>
      <c r="B37" s="4">
        <v>0.02</v>
      </c>
      <c r="D37" s="4">
        <v>36</v>
      </c>
      <c r="E37" s="4">
        <v>164</v>
      </c>
    </row>
    <row r="38" spans="1:5">
      <c r="A38" s="4">
        <v>37</v>
      </c>
      <c r="B38" s="4">
        <v>0.87</v>
      </c>
      <c r="D38" s="4">
        <v>37</v>
      </c>
      <c r="E38" s="4">
        <v>182</v>
      </c>
    </row>
    <row r="39" spans="1:5">
      <c r="A39" s="4">
        <v>38</v>
      </c>
      <c r="B39" s="4">
        <v>0.23</v>
      </c>
      <c r="D39" s="4">
        <v>38</v>
      </c>
      <c r="E39" s="4">
        <v>178</v>
      </c>
    </row>
    <row r="40" spans="1:5">
      <c r="A40" s="4">
        <v>39</v>
      </c>
      <c r="B40" s="4">
        <v>0.01</v>
      </c>
      <c r="D40" s="4">
        <v>39</v>
      </c>
      <c r="E40" s="4">
        <v>168</v>
      </c>
    </row>
    <row r="41" spans="1:5">
      <c r="A41" s="4">
        <v>40</v>
      </c>
      <c r="B41" s="4">
        <v>-0.6</v>
      </c>
      <c r="D41" s="4">
        <v>40</v>
      </c>
      <c r="E41" s="4">
        <v>159</v>
      </c>
    </row>
    <row r="42" spans="1:5">
      <c r="A42" s="4">
        <v>41</v>
      </c>
      <c r="B42" s="4">
        <v>-1.05</v>
      </c>
      <c r="D42" s="4">
        <v>41</v>
      </c>
      <c r="E42" s="4">
        <v>156</v>
      </c>
    </row>
    <row r="43" spans="1:5">
      <c r="A43" s="4">
        <v>42</v>
      </c>
      <c r="B43" s="4">
        <v>-0.22</v>
      </c>
      <c r="D43" s="4">
        <v>42</v>
      </c>
      <c r="E43" s="4">
        <v>175</v>
      </c>
    </row>
    <row r="44" spans="1:5">
      <c r="A44" s="4">
        <v>43</v>
      </c>
      <c r="B44" s="4">
        <v>0.08</v>
      </c>
      <c r="D44" s="4">
        <v>43</v>
      </c>
      <c r="E44" s="4">
        <v>167</v>
      </c>
    </row>
    <row r="45" spans="1:5">
      <c r="A45" s="4">
        <v>44</v>
      </c>
      <c r="B45" s="4">
        <v>1.36</v>
      </c>
      <c r="D45" s="4">
        <v>44</v>
      </c>
      <c r="E45" s="4">
        <v>169</v>
      </c>
    </row>
    <row r="46" spans="1:5">
      <c r="A46" s="4">
        <v>45</v>
      </c>
      <c r="B46" s="4">
        <v>0.21</v>
      </c>
      <c r="D46" s="4">
        <v>45</v>
      </c>
      <c r="E46" s="4">
        <v>151</v>
      </c>
    </row>
    <row r="47" spans="1:5">
      <c r="A47" s="4">
        <v>46</v>
      </c>
      <c r="B47" s="4">
        <v>0.81</v>
      </c>
      <c r="D47" s="4">
        <v>46</v>
      </c>
      <c r="E47" s="4">
        <v>172</v>
      </c>
    </row>
    <row r="48" spans="1:5">
      <c r="A48" s="4">
        <v>47</v>
      </c>
      <c r="B48" s="4">
        <v>-0.23</v>
      </c>
      <c r="D48" s="4">
        <v>47</v>
      </c>
      <c r="E48" s="4">
        <v>169</v>
      </c>
    </row>
    <row r="49" spans="1:5">
      <c r="A49" s="4">
        <v>48</v>
      </c>
      <c r="B49" s="4">
        <v>-0.71</v>
      </c>
      <c r="D49" s="4">
        <v>48</v>
      </c>
      <c r="E49" s="4">
        <v>156</v>
      </c>
    </row>
    <row r="50" spans="1:5">
      <c r="A50" s="4">
        <v>49</v>
      </c>
      <c r="B50" s="4">
        <v>-0.56000000000000005</v>
      </c>
      <c r="D50" s="4">
        <v>49</v>
      </c>
      <c r="E50" s="4">
        <v>161</v>
      </c>
    </row>
    <row r="51" spans="1:5">
      <c r="A51" s="4">
        <v>50</v>
      </c>
      <c r="B51" s="4">
        <v>-0.39</v>
      </c>
      <c r="D51" s="4">
        <v>50</v>
      </c>
      <c r="E51" s="4">
        <v>167</v>
      </c>
    </row>
    <row r="52" spans="1:5">
      <c r="A52" s="4">
        <v>51</v>
      </c>
      <c r="B52" s="4">
        <v>1.61</v>
      </c>
      <c r="D52" s="4">
        <v>51</v>
      </c>
      <c r="E52" s="4">
        <v>165</v>
      </c>
    </row>
    <row r="53" spans="1:5">
      <c r="A53" s="4">
        <v>52</v>
      </c>
      <c r="B53" s="4">
        <v>-0.45</v>
      </c>
      <c r="D53" s="4">
        <v>52</v>
      </c>
      <c r="E53" s="4">
        <v>163</v>
      </c>
    </row>
    <row r="54" spans="1:5">
      <c r="A54" s="4">
        <v>53</v>
      </c>
      <c r="B54" s="4">
        <v>0.71</v>
      </c>
      <c r="D54" s="4">
        <v>53</v>
      </c>
      <c r="E54" s="4">
        <v>164</v>
      </c>
    </row>
    <row r="55" spans="1:5">
      <c r="A55" s="4">
        <v>54</v>
      </c>
      <c r="B55" s="4">
        <v>-0.51</v>
      </c>
      <c r="D55" s="4">
        <v>54</v>
      </c>
      <c r="E55" s="4">
        <v>163</v>
      </c>
    </row>
    <row r="56" spans="1:5">
      <c r="A56" s="4">
        <v>55</v>
      </c>
      <c r="B56" s="4">
        <v>0.77</v>
      </c>
      <c r="D56" s="4">
        <v>55</v>
      </c>
      <c r="E56" s="4">
        <v>166</v>
      </c>
    </row>
    <row r="57" spans="1:5">
      <c r="A57" s="4">
        <v>56</v>
      </c>
      <c r="B57" s="4">
        <v>0.39</v>
      </c>
      <c r="D57" s="4">
        <v>56</v>
      </c>
      <c r="E57" s="4">
        <v>177</v>
      </c>
    </row>
    <row r="58" spans="1:5">
      <c r="A58" s="4">
        <v>57</v>
      </c>
      <c r="B58" s="4">
        <v>0.01</v>
      </c>
      <c r="D58" s="4">
        <v>57</v>
      </c>
      <c r="E58" s="4">
        <v>144</v>
      </c>
    </row>
    <row r="59" spans="1:5">
      <c r="A59" s="4">
        <v>58</v>
      </c>
      <c r="B59" s="4">
        <v>0.09</v>
      </c>
      <c r="D59" s="4">
        <v>58</v>
      </c>
      <c r="E59" s="4">
        <v>163</v>
      </c>
    </row>
    <row r="60" spans="1:5">
      <c r="A60" s="4">
        <v>59</v>
      </c>
      <c r="B60" s="4">
        <v>-0.34</v>
      </c>
      <c r="D60" s="4">
        <v>59</v>
      </c>
      <c r="E60" s="4">
        <v>166</v>
      </c>
    </row>
    <row r="61" spans="1:5">
      <c r="A61" s="4">
        <v>60</v>
      </c>
      <c r="B61" s="4">
        <v>0.43</v>
      </c>
      <c r="D61" s="4">
        <v>60</v>
      </c>
      <c r="E61" s="4">
        <v>167</v>
      </c>
    </row>
    <row r="62" spans="1:5">
      <c r="A62" s="4">
        <v>61</v>
      </c>
      <c r="B62" s="4">
        <v>-0.2</v>
      </c>
      <c r="D62" s="4">
        <v>61</v>
      </c>
      <c r="E62" s="4">
        <v>162</v>
      </c>
    </row>
    <row r="63" spans="1:5">
      <c r="A63" s="4">
        <v>62</v>
      </c>
      <c r="B63" s="4">
        <v>-0.74</v>
      </c>
      <c r="D63" s="4">
        <v>62</v>
      </c>
      <c r="E63" s="4">
        <v>151</v>
      </c>
    </row>
    <row r="64" spans="1:5">
      <c r="A64" s="4">
        <v>63</v>
      </c>
      <c r="B64" s="4">
        <v>-0.77</v>
      </c>
      <c r="D64" s="4">
        <v>63</v>
      </c>
      <c r="E64" s="4">
        <v>168</v>
      </c>
    </row>
    <row r="65" spans="1:5">
      <c r="A65" s="4">
        <v>64</v>
      </c>
      <c r="B65" s="4">
        <v>0.24</v>
      </c>
      <c r="D65" s="4">
        <v>64</v>
      </c>
      <c r="E65" s="4">
        <v>179</v>
      </c>
    </row>
    <row r="66" spans="1:5">
      <c r="A66" s="4">
        <v>65</v>
      </c>
      <c r="B66" s="4">
        <v>1.23</v>
      </c>
      <c r="D66" s="4">
        <v>65</v>
      </c>
      <c r="E66" s="4">
        <v>153</v>
      </c>
    </row>
    <row r="67" spans="1:5">
      <c r="A67" s="4">
        <v>66</v>
      </c>
      <c r="B67" s="4">
        <v>0.23</v>
      </c>
      <c r="D67" s="4">
        <v>66</v>
      </c>
      <c r="E67" s="4">
        <v>172</v>
      </c>
    </row>
    <row r="68" spans="1:5">
      <c r="A68" s="4">
        <v>67</v>
      </c>
      <c r="B68" s="4">
        <v>0.04</v>
      </c>
      <c r="D68" s="4">
        <v>67</v>
      </c>
      <c r="E68" s="4">
        <v>162</v>
      </c>
    </row>
    <row r="69" spans="1:5">
      <c r="A69" s="4">
        <v>68</v>
      </c>
      <c r="B69" s="4">
        <v>0.32</v>
      </c>
      <c r="D69" s="4">
        <v>68</v>
      </c>
      <c r="E69" s="4">
        <v>165</v>
      </c>
    </row>
    <row r="70" spans="1:5">
      <c r="A70" s="4">
        <v>69</v>
      </c>
      <c r="B70" s="4">
        <v>1.03</v>
      </c>
      <c r="D70" s="4">
        <v>69</v>
      </c>
      <c r="E70" s="4">
        <v>157</v>
      </c>
    </row>
    <row r="71" spans="1:5">
      <c r="A71" s="4">
        <v>70</v>
      </c>
      <c r="B71" s="4">
        <v>0.27</v>
      </c>
      <c r="D71" s="4">
        <v>70</v>
      </c>
      <c r="E71" s="4">
        <v>162</v>
      </c>
    </row>
    <row r="72" spans="1:5">
      <c r="A72" s="4">
        <v>71</v>
      </c>
      <c r="B72" s="4">
        <v>-0.17</v>
      </c>
      <c r="D72" s="4">
        <v>71</v>
      </c>
      <c r="E72" s="4">
        <v>175</v>
      </c>
    </row>
    <row r="73" spans="1:5">
      <c r="A73" s="4">
        <v>72</v>
      </c>
      <c r="B73" s="4">
        <v>0.89</v>
      </c>
      <c r="D73" s="4">
        <v>72</v>
      </c>
      <c r="E73" s="4">
        <v>170</v>
      </c>
    </row>
    <row r="74" spans="1:5">
      <c r="A74" s="4">
        <v>73</v>
      </c>
      <c r="B74" s="4">
        <v>0.42</v>
      </c>
      <c r="D74" s="4">
        <v>73</v>
      </c>
      <c r="E74" s="4">
        <v>179</v>
      </c>
    </row>
    <row r="75" spans="1:5">
      <c r="A75" s="4">
        <v>74</v>
      </c>
      <c r="B75" s="4">
        <v>1.2</v>
      </c>
      <c r="D75" s="4">
        <v>74</v>
      </c>
      <c r="E75" s="4">
        <v>174</v>
      </c>
    </row>
    <row r="76" spans="1:5">
      <c r="A76" s="4">
        <v>75</v>
      </c>
      <c r="B76" s="4">
        <v>0.25</v>
      </c>
      <c r="D76" s="4">
        <v>75</v>
      </c>
      <c r="E76" s="4">
        <v>169</v>
      </c>
    </row>
    <row r="77" spans="1:5">
      <c r="A77" s="4">
        <v>76</v>
      </c>
      <c r="B77" s="4">
        <v>-0.74</v>
      </c>
      <c r="D77" s="4">
        <v>76</v>
      </c>
      <c r="E77" s="4">
        <v>179</v>
      </c>
    </row>
    <row r="78" spans="1:5">
      <c r="A78" s="4">
        <v>77</v>
      </c>
      <c r="B78" s="4">
        <v>-0.84</v>
      </c>
      <c r="D78" s="4">
        <v>77</v>
      </c>
      <c r="E78" s="4">
        <v>169</v>
      </c>
    </row>
    <row r="79" spans="1:5">
      <c r="A79" s="4">
        <v>78</v>
      </c>
      <c r="B79" s="4">
        <v>1.28</v>
      </c>
      <c r="D79" s="4">
        <v>78</v>
      </c>
      <c r="E79" s="4">
        <v>172</v>
      </c>
    </row>
    <row r="80" spans="1:5">
      <c r="A80" s="4">
        <v>79</v>
      </c>
      <c r="B80" s="4">
        <v>-4.4000000000000004</v>
      </c>
      <c r="D80" s="4">
        <v>79</v>
      </c>
      <c r="E80" s="4">
        <v>163</v>
      </c>
    </row>
    <row r="81" spans="1:5">
      <c r="A81" s="4">
        <v>80</v>
      </c>
      <c r="B81" s="4">
        <v>-0.01</v>
      </c>
      <c r="D81" s="4">
        <v>80</v>
      </c>
      <c r="E81" s="4">
        <v>166</v>
      </c>
    </row>
    <row r="82" spans="1:5">
      <c r="A82" s="4">
        <v>81</v>
      </c>
      <c r="B82" s="4">
        <v>-0.15</v>
      </c>
      <c r="D82" s="4">
        <v>81</v>
      </c>
      <c r="E82" s="4">
        <v>159</v>
      </c>
    </row>
    <row r="83" spans="1:5">
      <c r="A83" s="4">
        <v>82</v>
      </c>
      <c r="B83" s="4">
        <v>1.1399999999999999</v>
      </c>
      <c r="D83" s="4">
        <v>82</v>
      </c>
      <c r="E83" s="4">
        <v>173</v>
      </c>
    </row>
    <row r="84" spans="1:5">
      <c r="A84" s="4">
        <v>83</v>
      </c>
      <c r="B84" s="4">
        <v>-0.65</v>
      </c>
      <c r="D84" s="4">
        <v>83</v>
      </c>
      <c r="E84" s="4">
        <v>156</v>
      </c>
    </row>
    <row r="85" spans="1:5">
      <c r="A85" s="4">
        <v>84</v>
      </c>
      <c r="B85" s="4">
        <v>-0.51</v>
      </c>
      <c r="D85" s="4">
        <v>84</v>
      </c>
      <c r="E85" s="4">
        <v>171</v>
      </c>
    </row>
    <row r="86" spans="1:5">
      <c r="A86" s="4">
        <v>85</v>
      </c>
      <c r="B86" s="4">
        <v>0.56999999999999995</v>
      </c>
      <c r="D86" s="4">
        <v>85</v>
      </c>
      <c r="E86" s="4">
        <v>163</v>
      </c>
    </row>
    <row r="87" spans="1:5">
      <c r="A87" s="4">
        <v>86</v>
      </c>
      <c r="B87" s="4">
        <v>-0.16</v>
      </c>
      <c r="D87" s="4">
        <v>86</v>
      </c>
      <c r="E87" s="4">
        <v>174</v>
      </c>
    </row>
    <row r="88" spans="1:5">
      <c r="A88" s="4">
        <v>87</v>
      </c>
      <c r="B88" s="4">
        <v>0.12</v>
      </c>
      <c r="D88" s="4">
        <v>87</v>
      </c>
      <c r="E88" s="4">
        <v>171</v>
      </c>
    </row>
    <row r="89" spans="1:5">
      <c r="A89" s="4">
        <v>88</v>
      </c>
      <c r="B89" s="4">
        <v>0.01</v>
      </c>
      <c r="D89" s="4">
        <v>88</v>
      </c>
      <c r="E89" s="4">
        <v>180</v>
      </c>
    </row>
    <row r="90" spans="1:5">
      <c r="A90" s="4">
        <v>89</v>
      </c>
      <c r="B90" s="4">
        <v>0.36</v>
      </c>
      <c r="D90" s="4">
        <v>89</v>
      </c>
      <c r="E90" s="4">
        <v>171</v>
      </c>
    </row>
    <row r="91" spans="1:5">
      <c r="A91" s="4">
        <v>90</v>
      </c>
      <c r="B91" s="4">
        <v>1.1100000000000001</v>
      </c>
      <c r="D91" s="4">
        <v>90</v>
      </c>
      <c r="E91" s="4">
        <v>152</v>
      </c>
    </row>
    <row r="92" spans="1:5">
      <c r="A92" s="4">
        <v>91</v>
      </c>
      <c r="B92" s="4">
        <v>0.18</v>
      </c>
      <c r="D92" s="4">
        <v>91</v>
      </c>
      <c r="E92" s="4">
        <v>164</v>
      </c>
    </row>
    <row r="93" spans="1:5">
      <c r="A93" s="4">
        <v>92</v>
      </c>
      <c r="B93" s="4">
        <v>0.56999999999999995</v>
      </c>
      <c r="D93" s="4">
        <v>92</v>
      </c>
      <c r="E93" s="4">
        <v>156</v>
      </c>
    </row>
    <row r="94" spans="1:5">
      <c r="A94" s="4">
        <v>93</v>
      </c>
      <c r="B94" s="4">
        <v>-1.32</v>
      </c>
      <c r="D94" s="4">
        <v>93</v>
      </c>
      <c r="E94" s="4">
        <v>161</v>
      </c>
    </row>
    <row r="95" spans="1:5">
      <c r="A95" s="4">
        <v>94</v>
      </c>
      <c r="B95" s="4">
        <v>0.09</v>
      </c>
      <c r="D95" s="4">
        <v>94</v>
      </c>
      <c r="E95" s="4">
        <v>177</v>
      </c>
    </row>
    <row r="96" spans="1:5">
      <c r="A96" s="4">
        <v>95</v>
      </c>
      <c r="B96" s="4">
        <v>-0.47</v>
      </c>
      <c r="D96" s="4">
        <v>95</v>
      </c>
      <c r="E96" s="4">
        <v>170</v>
      </c>
    </row>
    <row r="97" spans="1:5">
      <c r="A97" s="4">
        <v>96</v>
      </c>
      <c r="B97" s="4">
        <v>-0.73</v>
      </c>
      <c r="D97" s="4">
        <v>96</v>
      </c>
      <c r="E97" s="4">
        <v>159</v>
      </c>
    </row>
    <row r="98" spans="1:5">
      <c r="A98" s="4">
        <v>97</v>
      </c>
      <c r="B98" s="4">
        <v>-0.49</v>
      </c>
      <c r="D98" s="4">
        <v>97</v>
      </c>
      <c r="E98" s="4">
        <v>157</v>
      </c>
    </row>
    <row r="99" spans="1:5">
      <c r="A99" s="4">
        <v>98</v>
      </c>
      <c r="B99" s="4">
        <v>-0.11</v>
      </c>
      <c r="D99" s="4">
        <v>98</v>
      </c>
      <c r="E99" s="4">
        <v>165</v>
      </c>
    </row>
    <row r="100" spans="1:5">
      <c r="A100" s="4">
        <v>99</v>
      </c>
      <c r="B100" s="4">
        <v>-3.6</v>
      </c>
      <c r="D100" s="4">
        <v>99</v>
      </c>
      <c r="E100" s="4">
        <v>155</v>
      </c>
    </row>
    <row r="101" spans="1:5">
      <c r="A101" s="4">
        <v>100</v>
      </c>
      <c r="B101" s="4">
        <v>-0.81</v>
      </c>
      <c r="D101" s="4">
        <v>100</v>
      </c>
      <c r="E101" s="4">
        <v>160</v>
      </c>
    </row>
    <row r="102" spans="1:5">
      <c r="A102" s="4">
        <v>101</v>
      </c>
      <c r="B102" s="4">
        <v>0.14000000000000001</v>
      </c>
    </row>
    <row r="103" spans="1:5">
      <c r="A103" s="4">
        <v>102</v>
      </c>
      <c r="B103" s="4">
        <v>-0.22</v>
      </c>
    </row>
    <row r="104" spans="1:5">
      <c r="A104" s="4">
        <v>103</v>
      </c>
      <c r="B104" s="4">
        <v>-0.11</v>
      </c>
    </row>
    <row r="105" spans="1:5">
      <c r="A105" s="4">
        <v>104</v>
      </c>
      <c r="B105" s="4">
        <v>0.82</v>
      </c>
    </row>
    <row r="106" spans="1:5">
      <c r="A106" s="4">
        <v>105</v>
      </c>
      <c r="B106" s="4">
        <v>0.5</v>
      </c>
    </row>
    <row r="107" spans="1:5">
      <c r="A107" s="4">
        <v>106</v>
      </c>
      <c r="B107" s="4">
        <v>1.06</v>
      </c>
    </row>
    <row r="108" spans="1:5">
      <c r="A108" s="4">
        <v>107</v>
      </c>
      <c r="B108" s="4">
        <v>0.01</v>
      </c>
    </row>
    <row r="109" spans="1:5">
      <c r="A109" s="4">
        <v>108</v>
      </c>
      <c r="B109" s="4">
        <v>-0.37</v>
      </c>
    </row>
    <row r="110" spans="1:5">
      <c r="A110" s="4">
        <v>109</v>
      </c>
      <c r="B110" s="4">
        <v>-0.04</v>
      </c>
    </row>
    <row r="111" spans="1:5">
      <c r="A111" s="4">
        <v>110</v>
      </c>
      <c r="B111" s="4">
        <v>0.28999999999999998</v>
      </c>
    </row>
    <row r="112" spans="1:5">
      <c r="A112" s="4">
        <v>111</v>
      </c>
      <c r="B112" s="4">
        <v>0.24</v>
      </c>
    </row>
    <row r="113" spans="1:2">
      <c r="A113" s="4">
        <v>112</v>
      </c>
      <c r="B113" s="4">
        <v>-0.64</v>
      </c>
    </row>
    <row r="114" spans="1:2">
      <c r="A114" s="4">
        <v>113</v>
      </c>
      <c r="B114" s="4">
        <v>0.18</v>
      </c>
    </row>
    <row r="115" spans="1:2">
      <c r="A115" s="4">
        <v>114</v>
      </c>
      <c r="B115" s="4">
        <v>0.28000000000000003</v>
      </c>
    </row>
    <row r="116" spans="1:2">
      <c r="A116" s="4">
        <v>115</v>
      </c>
      <c r="B116" s="4">
        <v>1.88</v>
      </c>
    </row>
    <row r="117" spans="1:2">
      <c r="A117" s="4">
        <v>116</v>
      </c>
      <c r="B117" s="4">
        <v>1.43</v>
      </c>
    </row>
    <row r="118" spans="1:2">
      <c r="A118" s="4">
        <v>117</v>
      </c>
      <c r="B118" s="4">
        <v>-0.48</v>
      </c>
    </row>
    <row r="119" spans="1:2">
      <c r="A119" s="4">
        <v>118</v>
      </c>
      <c r="B119" s="4">
        <v>-0.08</v>
      </c>
    </row>
    <row r="120" spans="1:2">
      <c r="A120" s="4">
        <v>119</v>
      </c>
      <c r="B120" s="4">
        <v>-0.9</v>
      </c>
    </row>
    <row r="121" spans="1:2">
      <c r="A121" s="4">
        <v>120</v>
      </c>
      <c r="B121" s="4">
        <v>-0.28999999999999998</v>
      </c>
    </row>
  </sheetData>
  <phoneticPr fontId="7" type="noConversion"/>
  <pageMargins left="0.75" right="0.75" top="1" bottom="1" header="0.5" footer="0.5"/>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1"/>
  <sheetViews>
    <sheetView workbookViewId="0">
      <selection activeCell="J13" sqref="J13"/>
    </sheetView>
  </sheetViews>
  <sheetFormatPr baseColWidth="10" defaultColWidth="8.83203125" defaultRowHeight="15"/>
  <cols>
    <col min="1" max="1" width="11" customWidth="1"/>
    <col min="2" max="2" width="15" customWidth="1"/>
  </cols>
  <sheetData>
    <row r="1" spans="1:9" ht="31">
      <c r="A1" s="3" t="s">
        <v>126</v>
      </c>
      <c r="B1" s="3" t="s">
        <v>127</v>
      </c>
      <c r="C1" s="3" t="s">
        <v>245</v>
      </c>
      <c r="D1" s="3" t="s">
        <v>246</v>
      </c>
      <c r="F1" t="s">
        <v>223</v>
      </c>
      <c r="G1">
        <f>AVERAGE(B2:B31)</f>
        <v>78.733333333333334</v>
      </c>
    </row>
    <row r="2" spans="1:9">
      <c r="A2" s="4" t="s">
        <v>128</v>
      </c>
      <c r="B2" s="4">
        <v>82</v>
      </c>
      <c r="C2">
        <f>(B2-$G$1)/$G$2</f>
        <v>0.21853489066876985</v>
      </c>
      <c r="D2">
        <f>ABS(C2)</f>
        <v>0.21853489066876985</v>
      </c>
      <c r="F2" t="s">
        <v>244</v>
      </c>
      <c r="G2">
        <f>_xlfn.STDEV.S(B2:B31)</f>
        <v>14.948032584956444</v>
      </c>
    </row>
    <row r="3" spans="1:9">
      <c r="A3" s="4" t="s">
        <v>129</v>
      </c>
      <c r="B3" s="4">
        <v>72</v>
      </c>
      <c r="C3">
        <f t="shared" ref="C3:C31" si="0">(B3-$G$1)/$G$2</f>
        <v>-0.45044946852134216</v>
      </c>
      <c r="D3">
        <f t="shared" ref="D3:D31" si="1">ABS(C3)</f>
        <v>0.45044946852134216</v>
      </c>
    </row>
    <row r="4" spans="1:9">
      <c r="A4" s="4" t="s">
        <v>130</v>
      </c>
      <c r="B4" s="4">
        <v>68</v>
      </c>
      <c r="C4">
        <f t="shared" si="0"/>
        <v>-0.71804321219738698</v>
      </c>
      <c r="D4">
        <f t="shared" si="1"/>
        <v>0.71804321219738698</v>
      </c>
    </row>
    <row r="5" spans="1:9">
      <c r="A5" s="4" t="s">
        <v>131</v>
      </c>
      <c r="B5" s="4">
        <v>58</v>
      </c>
      <c r="C5">
        <f t="shared" si="0"/>
        <v>-1.3870275713874989</v>
      </c>
      <c r="D5">
        <f t="shared" si="1"/>
        <v>1.3870275713874989</v>
      </c>
      <c r="F5">
        <v>1</v>
      </c>
      <c r="G5">
        <f>COUNTIF($D$2:$D$31, "&lt;=" &amp; F5) / COUNT($B$2:$B$31)</f>
        <v>0.8666666666666667</v>
      </c>
      <c r="H5" s="16" t="s">
        <v>247</v>
      </c>
      <c r="I5">
        <f>COUNTIF($D$2:$D$31, "&lt;=1") / COUNT($B$2:$B$31)</f>
        <v>0.8666666666666667</v>
      </c>
    </row>
    <row r="6" spans="1:9">
      <c r="A6" s="4" t="s">
        <v>132</v>
      </c>
      <c r="B6" s="4">
        <v>82</v>
      </c>
      <c r="C6">
        <f t="shared" si="0"/>
        <v>0.21853489066876985</v>
      </c>
      <c r="D6">
        <f t="shared" si="1"/>
        <v>0.21853489066876985</v>
      </c>
      <c r="F6">
        <v>2</v>
      </c>
      <c r="G6">
        <f t="shared" ref="G6:G7" si="2">COUNTIF($D$2:$D$31, "&lt;=" &amp; F6) / COUNT($B$2:$B$31)</f>
        <v>0.96666666666666667</v>
      </c>
      <c r="H6">
        <f>1 - 1 / (F6^2)</f>
        <v>0.75</v>
      </c>
      <c r="I6">
        <f>COUNTIF($D$2:$D$31, "&lt;=1") / COUNT($B$2:$B$31)</f>
        <v>0.8666666666666667</v>
      </c>
    </row>
    <row r="7" spans="1:9">
      <c r="A7" s="4" t="s">
        <v>133</v>
      </c>
      <c r="B7" s="4">
        <v>77</v>
      </c>
      <c r="C7">
        <f t="shared" si="0"/>
        <v>-0.11595728892628615</v>
      </c>
      <c r="D7">
        <f t="shared" si="1"/>
        <v>0.11595728892628615</v>
      </c>
      <c r="F7">
        <v>3</v>
      </c>
      <c r="G7">
        <f t="shared" si="2"/>
        <v>0.96666666666666667</v>
      </c>
      <c r="H7">
        <f>1 - 1 / (F7^2)</f>
        <v>0.88888888888888884</v>
      </c>
      <c r="I7">
        <f>COUNTIF($D$2:$D$31, "&lt;=2") / COUNT($B$2:$B$31)</f>
        <v>0.96666666666666667</v>
      </c>
    </row>
    <row r="8" spans="1:9">
      <c r="A8" s="4" t="s">
        <v>134</v>
      </c>
      <c r="B8" s="4">
        <v>85</v>
      </c>
      <c r="C8">
        <f t="shared" si="0"/>
        <v>0.41923019842580345</v>
      </c>
      <c r="D8">
        <f t="shared" si="1"/>
        <v>0.41923019842580345</v>
      </c>
    </row>
    <row r="9" spans="1:9">
      <c r="A9" s="4" t="s">
        <v>135</v>
      </c>
      <c r="B9" s="4">
        <v>90</v>
      </c>
      <c r="C9">
        <f t="shared" si="0"/>
        <v>0.75372237802085951</v>
      </c>
      <c r="D9">
        <f t="shared" si="1"/>
        <v>0.75372237802085951</v>
      </c>
    </row>
    <row r="10" spans="1:9">
      <c r="A10" s="4" t="s">
        <v>136</v>
      </c>
      <c r="B10" s="4">
        <v>63</v>
      </c>
      <c r="C10">
        <f t="shared" si="0"/>
        <v>-1.0525353917924429</v>
      </c>
      <c r="D10">
        <f t="shared" si="1"/>
        <v>1.0525353917924429</v>
      </c>
    </row>
    <row r="11" spans="1:9">
      <c r="A11" s="4" t="s">
        <v>137</v>
      </c>
      <c r="B11" s="4">
        <v>76</v>
      </c>
      <c r="C11">
        <f t="shared" si="0"/>
        <v>-0.18285572484529736</v>
      </c>
      <c r="D11">
        <f t="shared" si="1"/>
        <v>0.18285572484529736</v>
      </c>
    </row>
    <row r="12" spans="1:9">
      <c r="A12" s="4" t="s">
        <v>138</v>
      </c>
      <c r="B12" s="4">
        <v>68</v>
      </c>
      <c r="C12">
        <f t="shared" si="0"/>
        <v>-0.71804321219738698</v>
      </c>
      <c r="D12">
        <f t="shared" si="1"/>
        <v>0.71804321219738698</v>
      </c>
    </row>
    <row r="13" spans="1:9">
      <c r="A13" s="4" t="s">
        <v>139</v>
      </c>
      <c r="B13" s="4">
        <v>89</v>
      </c>
      <c r="C13">
        <f t="shared" si="0"/>
        <v>0.68682394210184827</v>
      </c>
      <c r="D13">
        <f t="shared" si="1"/>
        <v>0.68682394210184827</v>
      </c>
    </row>
    <row r="14" spans="1:9">
      <c r="A14" s="4" t="s">
        <v>140</v>
      </c>
      <c r="B14" s="4">
        <v>73</v>
      </c>
      <c r="C14">
        <f t="shared" si="0"/>
        <v>-0.38355103260233092</v>
      </c>
      <c r="D14">
        <f t="shared" si="1"/>
        <v>0.38355103260233092</v>
      </c>
    </row>
    <row r="15" spans="1:9">
      <c r="A15" s="4" t="s">
        <v>141</v>
      </c>
      <c r="B15" s="4">
        <v>86</v>
      </c>
      <c r="C15">
        <f t="shared" si="0"/>
        <v>0.48612863434481468</v>
      </c>
      <c r="D15">
        <f t="shared" si="1"/>
        <v>0.48612863434481468</v>
      </c>
    </row>
    <row r="16" spans="1:9">
      <c r="A16" s="4" t="s">
        <v>142</v>
      </c>
      <c r="B16" s="4">
        <v>142</v>
      </c>
      <c r="C16">
        <f t="shared" si="0"/>
        <v>4.2324410458094421</v>
      </c>
      <c r="D16">
        <f t="shared" si="1"/>
        <v>4.2324410458094421</v>
      </c>
    </row>
    <row r="17" spans="1:4">
      <c r="A17" s="4" t="s">
        <v>143</v>
      </c>
      <c r="B17" s="4">
        <v>80</v>
      </c>
      <c r="C17">
        <f t="shared" si="0"/>
        <v>8.4738018830747455E-2</v>
      </c>
      <c r="D17">
        <f t="shared" si="1"/>
        <v>8.4738018830747455E-2</v>
      </c>
    </row>
    <row r="18" spans="1:4">
      <c r="A18" s="4" t="s">
        <v>144</v>
      </c>
      <c r="B18" s="4">
        <v>88</v>
      </c>
      <c r="C18">
        <f t="shared" si="0"/>
        <v>0.61992550618283704</v>
      </c>
      <c r="D18">
        <f t="shared" si="1"/>
        <v>0.61992550618283704</v>
      </c>
    </row>
    <row r="19" spans="1:4">
      <c r="A19" s="4" t="s">
        <v>145</v>
      </c>
      <c r="B19" s="4">
        <v>65</v>
      </c>
      <c r="C19">
        <f t="shared" si="0"/>
        <v>-0.91873851995442057</v>
      </c>
      <c r="D19">
        <f t="shared" si="1"/>
        <v>0.91873851995442057</v>
      </c>
    </row>
    <row r="20" spans="1:4">
      <c r="A20" s="4" t="s">
        <v>146</v>
      </c>
      <c r="B20" s="4">
        <v>78</v>
      </c>
      <c r="C20">
        <f t="shared" si="0"/>
        <v>-4.9058853007274944E-2</v>
      </c>
      <c r="D20">
        <f t="shared" si="1"/>
        <v>4.9058853007274944E-2</v>
      </c>
    </row>
    <row r="21" spans="1:4">
      <c r="A21" s="4" t="s">
        <v>147</v>
      </c>
      <c r="B21" s="4">
        <v>77</v>
      </c>
      <c r="C21">
        <f t="shared" si="0"/>
        <v>-0.11595728892628615</v>
      </c>
      <c r="D21">
        <f t="shared" si="1"/>
        <v>0.11595728892628615</v>
      </c>
    </row>
    <row r="22" spans="1:4">
      <c r="A22" s="4" t="s">
        <v>148</v>
      </c>
      <c r="B22" s="4">
        <v>89</v>
      </c>
      <c r="C22">
        <f t="shared" si="0"/>
        <v>0.68682394210184827</v>
      </c>
      <c r="D22">
        <f t="shared" si="1"/>
        <v>0.68682394210184827</v>
      </c>
    </row>
    <row r="23" spans="1:4">
      <c r="A23" s="4" t="s">
        <v>149</v>
      </c>
      <c r="B23" s="4">
        <v>80</v>
      </c>
      <c r="C23">
        <f t="shared" si="0"/>
        <v>8.4738018830747455E-2</v>
      </c>
      <c r="D23">
        <f t="shared" si="1"/>
        <v>8.4738018830747455E-2</v>
      </c>
    </row>
    <row r="24" spans="1:4">
      <c r="A24" s="4" t="s">
        <v>150</v>
      </c>
      <c r="B24" s="4">
        <v>78</v>
      </c>
      <c r="C24">
        <f t="shared" si="0"/>
        <v>-4.9058853007274944E-2</v>
      </c>
      <c r="D24">
        <f t="shared" si="1"/>
        <v>4.9058853007274944E-2</v>
      </c>
    </row>
    <row r="25" spans="1:4">
      <c r="A25" s="4" t="s">
        <v>151</v>
      </c>
      <c r="B25" s="4">
        <v>73</v>
      </c>
      <c r="C25">
        <f t="shared" si="0"/>
        <v>-0.38355103260233092</v>
      </c>
      <c r="D25">
        <f t="shared" si="1"/>
        <v>0.38355103260233092</v>
      </c>
    </row>
    <row r="26" spans="1:4">
      <c r="A26" s="4" t="s">
        <v>152</v>
      </c>
      <c r="B26" s="4">
        <v>75</v>
      </c>
      <c r="C26">
        <f t="shared" si="0"/>
        <v>-0.24975416076430854</v>
      </c>
      <c r="D26">
        <f t="shared" si="1"/>
        <v>0.24975416076430854</v>
      </c>
    </row>
    <row r="27" spans="1:4">
      <c r="A27" s="4" t="s">
        <v>153</v>
      </c>
      <c r="B27" s="4">
        <v>78</v>
      </c>
      <c r="C27">
        <f t="shared" si="0"/>
        <v>-4.9058853007274944E-2</v>
      </c>
      <c r="D27">
        <f t="shared" si="1"/>
        <v>4.9058853007274944E-2</v>
      </c>
    </row>
    <row r="28" spans="1:4">
      <c r="A28" s="4" t="s">
        <v>154</v>
      </c>
      <c r="B28" s="4">
        <v>77</v>
      </c>
      <c r="C28">
        <f t="shared" si="0"/>
        <v>-0.11595728892628615</v>
      </c>
      <c r="D28">
        <f t="shared" si="1"/>
        <v>0.11595728892628615</v>
      </c>
    </row>
    <row r="29" spans="1:4">
      <c r="A29" s="4" t="s">
        <v>155</v>
      </c>
      <c r="B29" s="4">
        <v>84</v>
      </c>
      <c r="C29">
        <f t="shared" si="0"/>
        <v>0.35233176250679227</v>
      </c>
      <c r="D29">
        <f t="shared" si="1"/>
        <v>0.35233176250679227</v>
      </c>
    </row>
    <row r="30" spans="1:4">
      <c r="A30" s="4" t="s">
        <v>156</v>
      </c>
      <c r="B30" s="4">
        <v>53</v>
      </c>
      <c r="C30">
        <f t="shared" si="0"/>
        <v>-1.7215197509825551</v>
      </c>
      <c r="D30">
        <f t="shared" si="1"/>
        <v>1.7215197509825551</v>
      </c>
    </row>
    <row r="31" spans="1:4">
      <c r="A31" s="4" t="s">
        <v>157</v>
      </c>
      <c r="B31" s="4">
        <v>76</v>
      </c>
      <c r="C31">
        <f t="shared" si="0"/>
        <v>-0.18285572484529736</v>
      </c>
      <c r="D31">
        <f t="shared" si="1"/>
        <v>0.18285572484529736</v>
      </c>
    </row>
  </sheetData>
  <conditionalFormatting sqref="F16">
    <cfRule type="cellIs" dxfId="4" priority="2" operator="greaterThan">
      <formula>"3$D$1:$D$31"</formula>
    </cfRule>
    <cfRule type="cellIs" dxfId="3" priority="3" operator="greaterThan">
      <formula>"3$D$1:$D$31"</formula>
    </cfRule>
  </conditionalFormatting>
  <conditionalFormatting sqref="D1:D31">
    <cfRule type="cellIs" dxfId="2" priority="1" operator="greaterThan">
      <formula>3</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C385-8824-F748-8B96-C18808462AD3}">
  <dimension ref="A1:I30"/>
  <sheetViews>
    <sheetView workbookViewId="0">
      <selection activeCell="G4" sqref="G4"/>
    </sheetView>
  </sheetViews>
  <sheetFormatPr baseColWidth="10" defaultRowHeight="15"/>
  <sheetData>
    <row r="1" spans="1:9" ht="46">
      <c r="A1" s="10" t="s">
        <v>126</v>
      </c>
      <c r="B1" s="10" t="s">
        <v>127</v>
      </c>
      <c r="C1" s="10" t="s">
        <v>245</v>
      </c>
      <c r="D1" s="10" t="s">
        <v>246</v>
      </c>
      <c r="E1" s="14"/>
      <c r="F1" s="14" t="s">
        <v>223</v>
      </c>
      <c r="G1" s="14">
        <f>AVERAGE(B2:B30)</f>
        <v>76.551724137931032</v>
      </c>
      <c r="H1" s="14"/>
    </row>
    <row r="2" spans="1:9">
      <c r="A2" s="4" t="s">
        <v>128</v>
      </c>
      <c r="B2" s="4">
        <v>82</v>
      </c>
      <c r="C2" s="14">
        <v>0.21853500000000001</v>
      </c>
      <c r="D2" s="14">
        <v>0.21853500000000001</v>
      </c>
      <c r="E2" s="14"/>
      <c r="F2" s="14" t="s">
        <v>244</v>
      </c>
      <c r="G2" s="14">
        <f>_xlfn.STDEV.S(B2:B30)</f>
        <v>9.1401242836835745</v>
      </c>
      <c r="H2" s="14"/>
    </row>
    <row r="3" spans="1:9">
      <c r="A3" s="4" t="s">
        <v>129</v>
      </c>
      <c r="B3" s="4">
        <v>72</v>
      </c>
      <c r="C3" s="14">
        <v>-0.45045000000000002</v>
      </c>
      <c r="D3" s="14">
        <v>0.45044899999999999</v>
      </c>
      <c r="E3" s="14"/>
      <c r="F3" s="14"/>
      <c r="G3" s="14"/>
      <c r="H3" s="14"/>
    </row>
    <row r="4" spans="1:9">
      <c r="A4" s="4" t="s">
        <v>130</v>
      </c>
      <c r="B4" s="4">
        <v>68</v>
      </c>
      <c r="C4" s="14">
        <v>-0.71804000000000001</v>
      </c>
      <c r="D4" s="14">
        <v>0.71804299999999999</v>
      </c>
      <c r="E4" s="14"/>
      <c r="F4" s="14"/>
      <c r="G4" s="14"/>
      <c r="H4" s="14"/>
    </row>
    <row r="5" spans="1:9">
      <c r="A5" s="4" t="s">
        <v>131</v>
      </c>
      <c r="B5" s="4">
        <v>58</v>
      </c>
      <c r="C5" s="14">
        <v>-1.38703</v>
      </c>
      <c r="D5" s="14">
        <v>1.3870279999999999</v>
      </c>
      <c r="E5" s="14"/>
      <c r="F5" s="14">
        <v>1</v>
      </c>
      <c r="G5">
        <f>COUNTIF($D$2:$D$30, "&lt;=" &amp; F5) / COUNT($B$2:$B$30)</f>
        <v>0.89655172413793105</v>
      </c>
      <c r="H5" s="15" t="s">
        <v>247</v>
      </c>
      <c r="I5">
        <f>COUNTIF($D$2:$D$31, "&lt;=1") / COUNT($B$2:$B$31)</f>
        <v>0.89655172413793105</v>
      </c>
    </row>
    <row r="6" spans="1:9">
      <c r="A6" s="4" t="s">
        <v>132</v>
      </c>
      <c r="B6" s="4">
        <v>82</v>
      </c>
      <c r="C6" s="14">
        <v>0.21853500000000001</v>
      </c>
      <c r="D6" s="14">
        <v>0.21853500000000001</v>
      </c>
      <c r="E6" s="14"/>
      <c r="F6" s="14">
        <v>2</v>
      </c>
      <c r="G6">
        <f t="shared" ref="G6:G7" si="0">COUNTIF($D$2:$D$30, "&lt;=" &amp; F6) / COUNT($B$2:$B$30)</f>
        <v>1</v>
      </c>
      <c r="H6">
        <f>1 - 1 / (F6^2)</f>
        <v>0.75</v>
      </c>
      <c r="I6">
        <f>COUNTIF($D$2:$D$31, "&lt;=2") / COUNT($B$2:$B$31)</f>
        <v>1</v>
      </c>
    </row>
    <row r="7" spans="1:9">
      <c r="A7" s="4" t="s">
        <v>133</v>
      </c>
      <c r="B7" s="4">
        <v>77</v>
      </c>
      <c r="C7" s="14">
        <v>-0.11595999999999999</v>
      </c>
      <c r="D7" s="14">
        <v>0.115957</v>
      </c>
      <c r="E7" s="14"/>
      <c r="F7" s="14">
        <v>3</v>
      </c>
      <c r="G7">
        <f t="shared" si="0"/>
        <v>1</v>
      </c>
      <c r="H7" s="14">
        <f>1 - 1 / (F7^2)</f>
        <v>0.88888888888888884</v>
      </c>
      <c r="I7">
        <f>COUNTIF($D$2:$D$31, "&lt;=2") / COUNT($B$2:$B$31)</f>
        <v>1</v>
      </c>
    </row>
    <row r="8" spans="1:9">
      <c r="A8" s="4" t="s">
        <v>134</v>
      </c>
      <c r="B8" s="4">
        <v>85</v>
      </c>
      <c r="C8" s="14">
        <v>0.41922999999999999</v>
      </c>
      <c r="D8" s="14">
        <v>0.41922999999999999</v>
      </c>
      <c r="E8" s="14"/>
      <c r="F8" s="14"/>
      <c r="G8" s="14"/>
      <c r="H8" s="14"/>
    </row>
    <row r="9" spans="1:9">
      <c r="A9" s="4" t="s">
        <v>135</v>
      </c>
      <c r="B9" s="4">
        <v>90</v>
      </c>
      <c r="C9" s="14">
        <v>0.753722</v>
      </c>
      <c r="D9" s="14">
        <v>0.753722</v>
      </c>
      <c r="E9" s="14"/>
      <c r="F9" s="14"/>
      <c r="G9" s="14"/>
      <c r="H9" s="14"/>
    </row>
    <row r="10" spans="1:9">
      <c r="A10" s="4" t="s">
        <v>136</v>
      </c>
      <c r="B10" s="4">
        <v>63</v>
      </c>
      <c r="C10" s="14">
        <v>-1.05254</v>
      </c>
      <c r="D10" s="14">
        <v>1.052535</v>
      </c>
      <c r="E10" s="14"/>
      <c r="F10" s="14"/>
      <c r="G10" s="14"/>
      <c r="H10" s="14"/>
    </row>
    <row r="11" spans="1:9">
      <c r="A11" s="4" t="s">
        <v>137</v>
      </c>
      <c r="B11" s="4">
        <v>76</v>
      </c>
      <c r="C11" s="14">
        <v>-0.18285999999999999</v>
      </c>
      <c r="D11" s="14">
        <v>0.18285599999999999</v>
      </c>
      <c r="E11" s="14"/>
      <c r="F11" s="14"/>
      <c r="G11" s="14"/>
      <c r="H11" s="14"/>
    </row>
    <row r="12" spans="1:9">
      <c r="A12" s="4" t="s">
        <v>138</v>
      </c>
      <c r="B12" s="4">
        <v>68</v>
      </c>
      <c r="C12" s="14">
        <v>-0.71804000000000001</v>
      </c>
      <c r="D12" s="14">
        <v>0.71804299999999999</v>
      </c>
      <c r="E12" s="14"/>
      <c r="F12" s="14"/>
      <c r="G12" s="14"/>
      <c r="H12" s="14"/>
    </row>
    <row r="13" spans="1:9">
      <c r="A13" s="4" t="s">
        <v>139</v>
      </c>
      <c r="B13" s="4">
        <v>89</v>
      </c>
      <c r="C13" s="14">
        <v>0.68682399999999999</v>
      </c>
      <c r="D13" s="14">
        <v>0.68682399999999999</v>
      </c>
      <c r="E13" s="14"/>
      <c r="F13" s="14"/>
      <c r="G13" s="14"/>
      <c r="H13" s="14"/>
    </row>
    <row r="14" spans="1:9">
      <c r="A14" s="4" t="s">
        <v>140</v>
      </c>
      <c r="B14" s="4">
        <v>73</v>
      </c>
      <c r="C14" s="14">
        <v>-0.38355</v>
      </c>
      <c r="D14" s="14">
        <v>0.38355099999999998</v>
      </c>
      <c r="E14" s="14"/>
      <c r="F14" s="14"/>
      <c r="G14" s="14"/>
      <c r="H14" s="14"/>
    </row>
    <row r="15" spans="1:9">
      <c r="A15" s="4" t="s">
        <v>141</v>
      </c>
      <c r="B15" s="4">
        <v>86</v>
      </c>
      <c r="C15" s="14">
        <v>0.48612899999999998</v>
      </c>
      <c r="D15" s="14">
        <v>0.48612899999999998</v>
      </c>
      <c r="E15" s="14"/>
      <c r="F15" s="14"/>
      <c r="G15" s="14"/>
      <c r="H15" s="14"/>
    </row>
    <row r="16" spans="1:9">
      <c r="A16" s="4" t="s">
        <v>143</v>
      </c>
      <c r="B16" s="4">
        <v>80</v>
      </c>
      <c r="C16" s="14">
        <v>8.4737999999999994E-2</v>
      </c>
      <c r="D16" s="14">
        <v>8.4737999999999994E-2</v>
      </c>
      <c r="E16" s="14"/>
      <c r="F16" s="14"/>
      <c r="G16" s="14"/>
      <c r="H16" s="14"/>
    </row>
    <row r="17" spans="1:8">
      <c r="A17" s="4" t="s">
        <v>144</v>
      </c>
      <c r="B17" s="4">
        <v>88</v>
      </c>
      <c r="C17" s="14">
        <v>0.61992599999999998</v>
      </c>
      <c r="D17" s="14">
        <v>0.61992599999999998</v>
      </c>
      <c r="E17" s="14"/>
      <c r="F17" s="14"/>
      <c r="G17" s="14"/>
      <c r="H17" s="14"/>
    </row>
    <row r="18" spans="1:8">
      <c r="A18" s="4" t="s">
        <v>145</v>
      </c>
      <c r="B18" s="4">
        <v>65</v>
      </c>
      <c r="C18" s="14">
        <v>-0.91874</v>
      </c>
      <c r="D18" s="14">
        <v>0.91873899999999997</v>
      </c>
      <c r="E18" s="14"/>
      <c r="F18" s="14"/>
      <c r="G18" s="14"/>
      <c r="H18" s="14"/>
    </row>
    <row r="19" spans="1:8">
      <c r="A19" s="4" t="s">
        <v>146</v>
      </c>
      <c r="B19" s="4">
        <v>78</v>
      </c>
      <c r="C19" s="14">
        <v>-4.9059999999999999E-2</v>
      </c>
      <c r="D19" s="14">
        <v>4.9058999999999998E-2</v>
      </c>
      <c r="E19" s="14"/>
      <c r="F19" s="14"/>
      <c r="G19" s="14"/>
      <c r="H19" s="14"/>
    </row>
    <row r="20" spans="1:8">
      <c r="A20" s="4" t="s">
        <v>147</v>
      </c>
      <c r="B20" s="4">
        <v>77</v>
      </c>
      <c r="C20" s="14">
        <v>-0.11595999999999999</v>
      </c>
      <c r="D20" s="14">
        <v>0.115957</v>
      </c>
      <c r="E20" s="14"/>
      <c r="F20" s="14"/>
      <c r="G20" s="14"/>
      <c r="H20" s="14"/>
    </row>
    <row r="21" spans="1:8">
      <c r="A21" s="4" t="s">
        <v>148</v>
      </c>
      <c r="B21" s="4">
        <v>89</v>
      </c>
      <c r="C21" s="14">
        <v>0.68682399999999999</v>
      </c>
      <c r="D21" s="14">
        <v>0.68682399999999999</v>
      </c>
      <c r="E21" s="14"/>
      <c r="F21" s="14"/>
      <c r="G21" s="14"/>
      <c r="H21" s="14"/>
    </row>
    <row r="22" spans="1:8">
      <c r="A22" s="4" t="s">
        <v>149</v>
      </c>
      <c r="B22" s="4">
        <v>80</v>
      </c>
      <c r="C22" s="14">
        <v>8.4737999999999994E-2</v>
      </c>
      <c r="D22" s="14">
        <v>8.4737999999999994E-2</v>
      </c>
      <c r="E22" s="14"/>
      <c r="F22" s="14"/>
      <c r="G22" s="14"/>
      <c r="H22" s="14"/>
    </row>
    <row r="23" spans="1:8">
      <c r="A23" s="4" t="s">
        <v>150</v>
      </c>
      <c r="B23" s="4">
        <v>78</v>
      </c>
      <c r="C23" s="14">
        <v>-4.9059999999999999E-2</v>
      </c>
      <c r="D23" s="14">
        <v>4.9058999999999998E-2</v>
      </c>
      <c r="E23" s="14"/>
      <c r="F23" s="14"/>
      <c r="G23" s="14"/>
      <c r="H23" s="14"/>
    </row>
    <row r="24" spans="1:8">
      <c r="A24" s="4" t="s">
        <v>151</v>
      </c>
      <c r="B24" s="4">
        <v>73</v>
      </c>
      <c r="C24" s="14">
        <v>-0.38355</v>
      </c>
      <c r="D24" s="14">
        <v>0.38355099999999998</v>
      </c>
      <c r="E24" s="14"/>
      <c r="F24" s="14"/>
      <c r="G24" s="14"/>
      <c r="H24" s="14"/>
    </row>
    <row r="25" spans="1:8">
      <c r="A25" s="4" t="s">
        <v>152</v>
      </c>
      <c r="B25" s="4">
        <v>75</v>
      </c>
      <c r="C25" s="14">
        <v>-0.24975</v>
      </c>
      <c r="D25" s="14">
        <v>0.249754</v>
      </c>
      <c r="E25" s="14"/>
      <c r="F25" s="14"/>
      <c r="G25" s="14"/>
      <c r="H25" s="14"/>
    </row>
    <row r="26" spans="1:8">
      <c r="A26" s="4" t="s">
        <v>153</v>
      </c>
      <c r="B26" s="4">
        <v>78</v>
      </c>
      <c r="C26" s="14">
        <v>-4.9059999999999999E-2</v>
      </c>
      <c r="D26" s="14">
        <v>4.9058999999999998E-2</v>
      </c>
      <c r="E26" s="14"/>
      <c r="F26" s="14"/>
      <c r="G26" s="14"/>
      <c r="H26" s="14"/>
    </row>
    <row r="27" spans="1:8">
      <c r="A27" s="4" t="s">
        <v>154</v>
      </c>
      <c r="B27" s="4">
        <v>77</v>
      </c>
      <c r="C27" s="14">
        <v>-0.11595999999999999</v>
      </c>
      <c r="D27" s="14">
        <v>0.115957</v>
      </c>
      <c r="E27" s="14"/>
      <c r="F27" s="14"/>
      <c r="G27" s="14"/>
      <c r="H27" s="14"/>
    </row>
    <row r="28" spans="1:8">
      <c r="A28" s="4" t="s">
        <v>155</v>
      </c>
      <c r="B28" s="4">
        <v>84</v>
      </c>
      <c r="C28" s="14">
        <v>0.35233199999999998</v>
      </c>
      <c r="D28" s="14">
        <v>0.35233199999999998</v>
      </c>
      <c r="E28" s="14"/>
      <c r="F28" s="14"/>
      <c r="G28" s="14"/>
      <c r="H28" s="14"/>
    </row>
    <row r="29" spans="1:8">
      <c r="A29" s="4" t="s">
        <v>156</v>
      </c>
      <c r="B29" s="4">
        <v>53</v>
      </c>
      <c r="C29" s="14">
        <v>-1.7215199999999999</v>
      </c>
      <c r="D29" s="14">
        <v>1.7215199999999999</v>
      </c>
      <c r="E29" s="14"/>
      <c r="F29" s="14"/>
      <c r="G29" s="14"/>
      <c r="H29" s="14"/>
    </row>
    <row r="30" spans="1:8">
      <c r="A30" s="4" t="s">
        <v>157</v>
      </c>
      <c r="B30" s="4">
        <v>76</v>
      </c>
      <c r="C30" s="14">
        <v>-0.18285999999999999</v>
      </c>
      <c r="D30" s="14">
        <v>0.18285599999999999</v>
      </c>
      <c r="E30" s="14"/>
      <c r="F30" s="14"/>
      <c r="G30" s="14"/>
      <c r="H30"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tabSelected="1" workbookViewId="0">
      <selection activeCell="E8" sqref="E8"/>
    </sheetView>
  </sheetViews>
  <sheetFormatPr baseColWidth="10" defaultColWidth="8.83203125" defaultRowHeight="15"/>
  <cols>
    <col min="1" max="1" width="8" customWidth="1"/>
    <col min="2" max="2" width="14" customWidth="1"/>
  </cols>
  <sheetData>
    <row r="1" spans="1:5" ht="31">
      <c r="A1" s="3" t="s">
        <v>158</v>
      </c>
      <c r="B1" s="3" t="s">
        <v>159</v>
      </c>
      <c r="D1" t="s">
        <v>248</v>
      </c>
      <c r="E1">
        <f>MIN(B2:B41)</f>
        <v>20</v>
      </c>
    </row>
    <row r="2" spans="1:5">
      <c r="A2" s="4" t="s">
        <v>160</v>
      </c>
      <c r="B2" s="4">
        <v>44</v>
      </c>
      <c r="D2" t="s">
        <v>225</v>
      </c>
      <c r="E2">
        <f>_xlfn.QUARTILE.INC(B2:B41,1)</f>
        <v>29.5</v>
      </c>
    </row>
    <row r="3" spans="1:5">
      <c r="A3" s="4" t="s">
        <v>161</v>
      </c>
      <c r="B3" s="4">
        <v>31</v>
      </c>
      <c r="D3" t="s">
        <v>212</v>
      </c>
      <c r="E3">
        <f>MEDIAN(B2:B41)</f>
        <v>33</v>
      </c>
    </row>
    <row r="4" spans="1:5">
      <c r="A4" s="4" t="s">
        <v>162</v>
      </c>
      <c r="B4" s="4">
        <v>20</v>
      </c>
      <c r="D4" t="s">
        <v>226</v>
      </c>
      <c r="E4">
        <f>_xlfn.QUARTILE.INC(B2:B41,3)</f>
        <v>36</v>
      </c>
    </row>
    <row r="5" spans="1:5">
      <c r="A5" s="4" t="s">
        <v>163</v>
      </c>
      <c r="B5" s="4">
        <v>28</v>
      </c>
      <c r="D5" t="s">
        <v>249</v>
      </c>
      <c r="E5">
        <f>MAX(B2:B41)</f>
        <v>95</v>
      </c>
    </row>
    <row r="6" spans="1:5">
      <c r="A6" s="4" t="s">
        <v>164</v>
      </c>
      <c r="B6" s="4">
        <v>28</v>
      </c>
    </row>
    <row r="7" spans="1:5">
      <c r="A7" s="4" t="s">
        <v>165</v>
      </c>
      <c r="B7" s="4">
        <v>30</v>
      </c>
      <c r="D7" t="s">
        <v>250</v>
      </c>
      <c r="E7">
        <f>E4-E2</f>
        <v>6.5</v>
      </c>
    </row>
    <row r="8" spans="1:5">
      <c r="A8" s="4" t="s">
        <v>166</v>
      </c>
      <c r="B8" s="4">
        <v>39</v>
      </c>
      <c r="E8">
        <f>E2-1.5*E7</f>
        <v>19.75</v>
      </c>
    </row>
    <row r="9" spans="1:5">
      <c r="A9" s="4" t="s">
        <v>167</v>
      </c>
      <c r="B9" s="4">
        <v>30</v>
      </c>
      <c r="D9" t="s">
        <v>251</v>
      </c>
      <c r="E9">
        <f>E4+1.5*E7</f>
        <v>45.75</v>
      </c>
    </row>
    <row r="10" spans="1:5">
      <c r="A10" s="4" t="s">
        <v>168</v>
      </c>
      <c r="B10" s="4">
        <v>33</v>
      </c>
    </row>
    <row r="11" spans="1:5">
      <c r="A11" s="4" t="s">
        <v>169</v>
      </c>
      <c r="B11" s="4">
        <v>35</v>
      </c>
    </row>
    <row r="12" spans="1:5">
      <c r="A12" s="4" t="s">
        <v>170</v>
      </c>
      <c r="B12" s="4">
        <v>33</v>
      </c>
      <c r="E12">
        <f>COUNTIF(B2:B41,"&lt;"&amp;E8)+COUNTIF(B2:B41,"&gt;"&amp;E9)</f>
        <v>2</v>
      </c>
    </row>
    <row r="13" spans="1:5">
      <c r="A13" s="4" t="s">
        <v>171</v>
      </c>
      <c r="B13" s="4">
        <v>24</v>
      </c>
    </row>
    <row r="14" spans="1:5">
      <c r="A14" s="4" t="s">
        <v>172</v>
      </c>
      <c r="B14" s="4">
        <v>36</v>
      </c>
    </row>
    <row r="15" spans="1:5">
      <c r="A15" s="4" t="s">
        <v>173</v>
      </c>
      <c r="B15" s="4">
        <v>28</v>
      </c>
    </row>
    <row r="16" spans="1:5">
      <c r="A16" s="4" t="s">
        <v>174</v>
      </c>
      <c r="B16" s="4">
        <v>26</v>
      </c>
    </row>
    <row r="17" spans="1:2">
      <c r="A17" s="4" t="s">
        <v>175</v>
      </c>
      <c r="B17" s="4">
        <v>35</v>
      </c>
    </row>
    <row r="18" spans="1:2">
      <c r="A18" s="4" t="s">
        <v>176</v>
      </c>
      <c r="B18" s="4">
        <v>31</v>
      </c>
    </row>
    <row r="19" spans="1:2">
      <c r="A19" s="4" t="s">
        <v>177</v>
      </c>
      <c r="B19" s="4">
        <v>32</v>
      </c>
    </row>
    <row r="20" spans="1:2">
      <c r="A20" s="4" t="s">
        <v>178</v>
      </c>
      <c r="B20" s="4">
        <v>36</v>
      </c>
    </row>
    <row r="21" spans="1:2">
      <c r="A21" s="4" t="s">
        <v>179</v>
      </c>
      <c r="B21" s="4">
        <v>78</v>
      </c>
    </row>
    <row r="22" spans="1:2">
      <c r="A22" s="4" t="s">
        <v>180</v>
      </c>
      <c r="B22" s="4">
        <v>33</v>
      </c>
    </row>
    <row r="23" spans="1:2">
      <c r="A23" s="4" t="s">
        <v>181</v>
      </c>
      <c r="B23" s="4">
        <v>33</v>
      </c>
    </row>
    <row r="24" spans="1:2">
      <c r="A24" s="4" t="s">
        <v>182</v>
      </c>
      <c r="B24" s="4">
        <v>22</v>
      </c>
    </row>
    <row r="25" spans="1:2">
      <c r="A25" s="4" t="s">
        <v>183</v>
      </c>
      <c r="B25" s="4">
        <v>34</v>
      </c>
    </row>
    <row r="26" spans="1:2">
      <c r="A26" s="4" t="s">
        <v>184</v>
      </c>
      <c r="B26" s="4">
        <v>28</v>
      </c>
    </row>
    <row r="27" spans="1:2">
      <c r="A27" s="4" t="s">
        <v>185</v>
      </c>
      <c r="B27" s="4">
        <v>35</v>
      </c>
    </row>
    <row r="28" spans="1:2">
      <c r="A28" s="4" t="s">
        <v>186</v>
      </c>
      <c r="B28" s="4">
        <v>30</v>
      </c>
    </row>
    <row r="29" spans="1:2">
      <c r="A29" s="4" t="s">
        <v>187</v>
      </c>
      <c r="B29" s="4">
        <v>36</v>
      </c>
    </row>
    <row r="30" spans="1:2">
      <c r="A30" s="4" t="s">
        <v>188</v>
      </c>
      <c r="B30" s="4">
        <v>36</v>
      </c>
    </row>
    <row r="31" spans="1:2">
      <c r="A31" s="4" t="s">
        <v>189</v>
      </c>
      <c r="B31" s="4">
        <v>36</v>
      </c>
    </row>
    <row r="32" spans="1:2">
      <c r="A32" s="4" t="s">
        <v>190</v>
      </c>
      <c r="B32" s="4">
        <v>34</v>
      </c>
    </row>
    <row r="33" spans="1:2">
      <c r="A33" s="4" t="s">
        <v>191</v>
      </c>
      <c r="B33" s="4">
        <v>39</v>
      </c>
    </row>
    <row r="34" spans="1:2">
      <c r="A34" s="4" t="s">
        <v>192</v>
      </c>
      <c r="B34" s="4">
        <v>24</v>
      </c>
    </row>
    <row r="35" spans="1:2">
      <c r="A35" s="4" t="s">
        <v>193</v>
      </c>
      <c r="B35" s="4">
        <v>33</v>
      </c>
    </row>
    <row r="36" spans="1:2">
      <c r="A36" s="4" t="s">
        <v>194</v>
      </c>
      <c r="B36" s="4">
        <v>33</v>
      </c>
    </row>
    <row r="37" spans="1:2">
      <c r="A37" s="4" t="s">
        <v>195</v>
      </c>
      <c r="B37" s="4">
        <v>32</v>
      </c>
    </row>
    <row r="38" spans="1:2">
      <c r="A38" s="4" t="s">
        <v>196</v>
      </c>
      <c r="B38" s="4">
        <v>40</v>
      </c>
    </row>
    <row r="39" spans="1:2">
      <c r="A39" s="4" t="s">
        <v>197</v>
      </c>
      <c r="B39" s="4">
        <v>36</v>
      </c>
    </row>
    <row r="40" spans="1:2">
      <c r="A40" s="4" t="s">
        <v>198</v>
      </c>
      <c r="B40" s="4">
        <v>25</v>
      </c>
    </row>
    <row r="41" spans="1:2">
      <c r="A41" s="4" t="s">
        <v>199</v>
      </c>
      <c r="B41" s="4">
        <v>95</v>
      </c>
    </row>
  </sheetData>
  <conditionalFormatting sqref="E12">
    <cfRule type="cellIs" dxfId="1" priority="2" operator="greaterThan">
      <formula>"4$B$2:$B$41"</formula>
    </cfRule>
  </conditionalFormatting>
  <conditionalFormatting sqref="B2:B41">
    <cfRule type="cellIs" dxfId="0" priority="1" operator="greaterThan">
      <formula>45.75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7"/>
  <sheetViews>
    <sheetView workbookViewId="0">
      <selection activeCell="J13" sqref="J13"/>
    </sheetView>
  </sheetViews>
  <sheetFormatPr baseColWidth="10" defaultColWidth="8.83203125" defaultRowHeight="15"/>
  <cols>
    <col min="1" max="1" width="9" customWidth="1"/>
    <col min="2" max="2" width="12" customWidth="1"/>
    <col min="3" max="3" width="14" customWidth="1"/>
    <col min="4" max="4" width="10" customWidth="1"/>
    <col min="6" max="6" width="15.83203125" customWidth="1"/>
    <col min="10" max="10" width="29.6640625" customWidth="1"/>
    <col min="11" max="11" width="25" customWidth="1"/>
    <col min="12" max="12" width="23.83203125" customWidth="1"/>
    <col min="13" max="13" width="12.5" customWidth="1"/>
    <col min="14" max="14" width="11.5" customWidth="1"/>
    <col min="15" max="15" width="12.5" customWidth="1"/>
  </cols>
  <sheetData>
    <row r="1" spans="1:12" ht="32" customHeight="1">
      <c r="A1" s="3" t="s">
        <v>55</v>
      </c>
      <c r="B1" s="3" t="s">
        <v>200</v>
      </c>
      <c r="C1" s="3" t="s">
        <v>201</v>
      </c>
      <c r="D1" s="3" t="s">
        <v>202</v>
      </c>
      <c r="F1" s="3" t="s">
        <v>252</v>
      </c>
      <c r="H1" s="3" t="s">
        <v>253</v>
      </c>
    </row>
    <row r="2" spans="1:12">
      <c r="A2" s="4" t="s">
        <v>57</v>
      </c>
      <c r="B2" s="4">
        <v>4</v>
      </c>
      <c r="C2" s="4">
        <v>5.5</v>
      </c>
      <c r="D2" s="4">
        <v>47</v>
      </c>
      <c r="F2">
        <f>(B2-AVERAGE($B$2:$B$16))*(D2-AVERAGE($D$2:$D$16))</f>
        <v>101.11111111111109</v>
      </c>
      <c r="H2">
        <f>B2*60</f>
        <v>240</v>
      </c>
    </row>
    <row r="3" spans="1:12">
      <c r="A3" s="4" t="s">
        <v>58</v>
      </c>
      <c r="B3" s="4">
        <v>6</v>
      </c>
      <c r="C3" s="4">
        <v>4.5999999999999996</v>
      </c>
      <c r="D3" s="4">
        <v>58</v>
      </c>
      <c r="F3">
        <f t="shared" ref="F3:F16" si="0">(B3-AVERAGE($B$2:$B$16))*(D3-AVERAGE($D$2:$D$16))</f>
        <v>23.044444444444434</v>
      </c>
      <c r="H3">
        <f t="shared" ref="H3:H16" si="1">B3*60</f>
        <v>360</v>
      </c>
      <c r="J3" s="11" t="s">
        <v>254</v>
      </c>
      <c r="K3" s="11" t="s">
        <v>255</v>
      </c>
      <c r="L3" s="11" t="s">
        <v>265</v>
      </c>
    </row>
    <row r="4" spans="1:12">
      <c r="A4" s="4" t="s">
        <v>59</v>
      </c>
      <c r="B4" s="4">
        <v>8</v>
      </c>
      <c r="C4" s="4">
        <v>2.6</v>
      </c>
      <c r="D4" s="4">
        <v>52</v>
      </c>
      <c r="F4">
        <f t="shared" si="0"/>
        <v>24.111111111111104</v>
      </c>
      <c r="H4">
        <f t="shared" si="1"/>
        <v>480</v>
      </c>
      <c r="J4" s="12" t="s">
        <v>256</v>
      </c>
      <c r="K4" s="12">
        <v>57.1</v>
      </c>
      <c r="L4" s="12" t="s">
        <v>257</v>
      </c>
    </row>
    <row r="5" spans="1:12">
      <c r="A5" s="4" t="s">
        <v>60</v>
      </c>
      <c r="B5" s="4">
        <v>10</v>
      </c>
      <c r="C5" s="4">
        <v>2.6</v>
      </c>
      <c r="D5" s="4">
        <v>52</v>
      </c>
      <c r="F5">
        <f t="shared" si="0"/>
        <v>0.7777777777777749</v>
      </c>
      <c r="H5">
        <f t="shared" si="1"/>
        <v>600</v>
      </c>
      <c r="J5" s="12" t="s">
        <v>258</v>
      </c>
      <c r="K5" s="12">
        <v>-9.43</v>
      </c>
      <c r="L5" s="12" t="s">
        <v>259</v>
      </c>
    </row>
    <row r="6" spans="1:12">
      <c r="A6" s="4" t="s">
        <v>61</v>
      </c>
      <c r="B6" s="4">
        <v>12</v>
      </c>
      <c r="C6" s="4">
        <v>2.8</v>
      </c>
      <c r="D6" s="4">
        <v>73</v>
      </c>
      <c r="F6">
        <f t="shared" si="0"/>
        <v>18.044444444444451</v>
      </c>
      <c r="H6">
        <f t="shared" si="1"/>
        <v>720</v>
      </c>
      <c r="J6" s="12" t="s">
        <v>260</v>
      </c>
      <c r="K6" s="18" t="s">
        <v>261</v>
      </c>
      <c r="L6" s="12" t="s">
        <v>262</v>
      </c>
    </row>
    <row r="7" spans="1:12">
      <c r="A7" s="4" t="s">
        <v>62</v>
      </c>
      <c r="B7" s="4">
        <v>5</v>
      </c>
      <c r="C7" s="4">
        <v>4.7</v>
      </c>
      <c r="D7" s="4">
        <v>52</v>
      </c>
      <c r="F7">
        <f t="shared" si="0"/>
        <v>59.111111111111093</v>
      </c>
      <c r="H7">
        <f t="shared" si="1"/>
        <v>300</v>
      </c>
      <c r="J7" s="12" t="s">
        <v>263</v>
      </c>
      <c r="K7" s="17">
        <v>3425.71</v>
      </c>
      <c r="L7" s="12" t="s">
        <v>264</v>
      </c>
    </row>
    <row r="8" spans="1:12">
      <c r="A8" s="4" t="s">
        <v>63</v>
      </c>
      <c r="B8" s="4">
        <v>14</v>
      </c>
      <c r="C8" s="4">
        <v>3.8</v>
      </c>
      <c r="D8" s="4">
        <v>81</v>
      </c>
      <c r="F8">
        <f t="shared" si="0"/>
        <v>68.177777777777791</v>
      </c>
      <c r="H8">
        <f t="shared" si="1"/>
        <v>840</v>
      </c>
    </row>
    <row r="9" spans="1:12">
      <c r="A9" s="4" t="s">
        <v>64</v>
      </c>
      <c r="B9" s="4">
        <v>16</v>
      </c>
      <c r="C9" s="4">
        <v>2.4</v>
      </c>
      <c r="D9" s="4">
        <v>86</v>
      </c>
      <c r="F9">
        <f t="shared" si="0"/>
        <v>132.51111111111112</v>
      </c>
      <c r="H9">
        <f t="shared" si="1"/>
        <v>960</v>
      </c>
    </row>
    <row r="10" spans="1:12">
      <c r="A10" s="4" t="s">
        <v>65</v>
      </c>
      <c r="B10" s="4">
        <v>7</v>
      </c>
      <c r="C10" s="4">
        <v>4.5</v>
      </c>
      <c r="D10" s="4">
        <v>52</v>
      </c>
      <c r="F10">
        <f t="shared" si="0"/>
        <v>35.777777777777764</v>
      </c>
      <c r="H10">
        <f t="shared" si="1"/>
        <v>420</v>
      </c>
    </row>
    <row r="11" spans="1:12">
      <c r="A11" s="4" t="s">
        <v>66</v>
      </c>
      <c r="B11" s="4">
        <v>9</v>
      </c>
      <c r="C11" s="4">
        <v>3.5</v>
      </c>
      <c r="D11" s="4">
        <v>54</v>
      </c>
      <c r="F11">
        <f t="shared" si="0"/>
        <v>10.311111111111106</v>
      </c>
      <c r="H11">
        <f t="shared" si="1"/>
        <v>540</v>
      </c>
    </row>
    <row r="12" spans="1:12">
      <c r="A12" s="4" t="s">
        <v>67</v>
      </c>
      <c r="B12" s="4">
        <v>18</v>
      </c>
      <c r="C12" s="4">
        <v>1.3</v>
      </c>
      <c r="D12" s="4">
        <v>83</v>
      </c>
      <c r="F12">
        <f t="shared" si="0"/>
        <v>153.37777777777779</v>
      </c>
      <c r="H12">
        <f t="shared" si="1"/>
        <v>1080</v>
      </c>
    </row>
    <row r="13" spans="1:12">
      <c r="A13" s="4" t="s">
        <v>68</v>
      </c>
      <c r="B13" s="4">
        <v>11</v>
      </c>
      <c r="C13" s="4">
        <v>4.2</v>
      </c>
      <c r="D13" s="4">
        <v>75</v>
      </c>
      <c r="F13">
        <f t="shared" si="0"/>
        <v>10.577777777777783</v>
      </c>
      <c r="H13">
        <f t="shared" si="1"/>
        <v>660</v>
      </c>
    </row>
    <row r="14" spans="1:12">
      <c r="A14" s="4" t="s">
        <v>69</v>
      </c>
      <c r="B14" s="4">
        <v>3</v>
      </c>
      <c r="C14" s="4">
        <v>4.2</v>
      </c>
      <c r="D14" s="4">
        <v>48</v>
      </c>
      <c r="F14">
        <f t="shared" si="0"/>
        <v>110.71111111111109</v>
      </c>
      <c r="H14">
        <f t="shared" si="1"/>
        <v>180</v>
      </c>
    </row>
    <row r="15" spans="1:12">
      <c r="A15" s="4" t="s">
        <v>70</v>
      </c>
      <c r="B15" s="4">
        <v>13</v>
      </c>
      <c r="C15" s="4">
        <v>2.2999999999999998</v>
      </c>
      <c r="D15" s="4">
        <v>74</v>
      </c>
      <c r="F15">
        <f t="shared" si="0"/>
        <v>30.311111111111121</v>
      </c>
      <c r="H15">
        <f t="shared" si="1"/>
        <v>780</v>
      </c>
    </row>
    <row r="16" spans="1:12">
      <c r="A16" s="4" t="s">
        <v>71</v>
      </c>
      <c r="B16" s="4">
        <v>15</v>
      </c>
      <c r="C16" s="4">
        <v>2.6</v>
      </c>
      <c r="D16" s="4">
        <v>68</v>
      </c>
      <c r="F16">
        <f t="shared" si="0"/>
        <v>21.377777777777791</v>
      </c>
      <c r="H16">
        <f t="shared" si="1"/>
        <v>900</v>
      </c>
    </row>
    <row r="17" spans="6:6">
      <c r="F17">
        <f>SUM(F2:F16)/(COUNT(B2:B16)-1)</f>
        <v>57.095238095238095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P1 Salaries</vt:lpstr>
      <vt:lpstr>P2 Weighted</vt:lpstr>
      <vt:lpstr>P3 Scores</vt:lpstr>
      <vt:lpstr>P4 Variability</vt:lpstr>
      <vt:lpstr>P5 Shape</vt:lpstr>
      <vt:lpstr>P6 Sales</vt:lpstr>
      <vt:lpstr>P6 Sales after</vt:lpstr>
      <vt:lpstr>P7 Rents</vt:lpstr>
      <vt:lpstr>P8 Students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Ayaan Jauhar - 260173</cp:lastModifiedBy>
  <dcterms:created xsi:type="dcterms:W3CDTF">2026-10-07T05:33:49Z</dcterms:created>
  <dcterms:modified xsi:type="dcterms:W3CDTF">2026-10-08T05:17:23Z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1d1394-37a0-4505-8d21-da79f28efe6c_Enabled">
    <vt:lpwstr>true</vt:lpwstr>
  </property>
  <property fmtid="{D5CDD505-2E9C-101B-9397-08002B2CF9AE}" pid="3" name="MSIP_Label_171d1394-37a0-4505-8d21-da79f28efe6c_SetDate">
    <vt:lpwstr>2026-10-07T05:47:25Z</vt:lpwstr>
  </property>
  <property fmtid="{D5CDD505-2E9C-101B-9397-08002B2CF9AE}" pid="4" name="MSIP_Label_171d1394-37a0-4505-8d21-da79f28efe6c_Method">
    <vt:lpwstr>Standard</vt:lpwstr>
  </property>
  <property fmtid="{D5CDD505-2E9C-101B-9397-08002B2CF9AE}" pid="5" name="MSIP_Label_171d1394-37a0-4505-8d21-da79f28efe6c_Name">
    <vt:lpwstr>defa4170-0d19-0005-0004-bc88714345d2</vt:lpwstr>
  </property>
  <property fmtid="{D5CDD505-2E9C-101B-9397-08002B2CF9AE}" pid="6" name="MSIP_Label_171d1394-37a0-4505-8d21-da79f28efe6c_SiteId">
    <vt:lpwstr>297d2b28-efc2-4659-ab8e-97e0f0d00304</vt:lpwstr>
  </property>
  <property fmtid="{D5CDD505-2E9C-101B-9397-08002B2CF9AE}" pid="7" name="MSIP_Label_171d1394-37a0-4505-8d21-da79f28efe6c_ActionId">
    <vt:lpwstr>6a53ea82-b74f-43fc-8de9-19a6225c2c17</vt:lpwstr>
  </property>
  <property fmtid="{D5CDD505-2E9C-101B-9397-08002B2CF9AE}" pid="8" name="MSIP_Label_171d1394-37a0-4505-8d21-da79f28efe6c_ContentBits">
    <vt:lpwstr>0</vt:lpwstr>
  </property>
  <property fmtid="{D5CDD505-2E9C-101B-9397-08002B2CF9AE}" pid="9" name="MSIP_Label_171d1394-37a0-4505-8d21-da79f28efe6c_Tag">
    <vt:lpwstr>10, 3, 0, 1</vt:lpwstr>
  </property>
</Properties>
</file>